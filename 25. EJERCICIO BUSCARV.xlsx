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9DEE09C-C7FF-4722-A895-C4B54471A75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ARTICULOS" sheetId="1" r:id="rId1"/>
    <sheet name="COMPRAS" sheetId="2" r:id="rId2"/>
  </sheets>
  <definedNames>
    <definedName name="_xlnm._FilterDatabase" localSheetId="1" hidden="1">COMPRAS!$A:$F</definedName>
    <definedName name="_xlnm.Criteria" localSheetId="1">COMPRAS!$H$5:$J$6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2" i="2"/>
  <c r="C2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</calcChain>
</file>

<file path=xl/sharedStrings.xml><?xml version="1.0" encoding="utf-8"?>
<sst xmlns="http://schemas.openxmlformats.org/spreadsheetml/2006/main" count="75" uniqueCount="30">
  <si>
    <t>REFERENCIA</t>
  </si>
  <si>
    <t>ARTICULO</t>
  </si>
  <si>
    <t>PROVEEDOR</t>
  </si>
  <si>
    <t>PRECIO</t>
  </si>
  <si>
    <t>C001</t>
  </si>
  <si>
    <t>MODEM</t>
  </si>
  <si>
    <t>P001</t>
  </si>
  <si>
    <t>C002</t>
  </si>
  <si>
    <t>RATON</t>
  </si>
  <si>
    <t>C003</t>
  </si>
  <si>
    <t>TECLADO</t>
  </si>
  <si>
    <t>C004</t>
  </si>
  <si>
    <t>TORRE</t>
  </si>
  <si>
    <t>P002</t>
  </si>
  <si>
    <t>C005</t>
  </si>
  <si>
    <t>CAJA</t>
  </si>
  <si>
    <t>C006</t>
  </si>
  <si>
    <t>MONITOR</t>
  </si>
  <si>
    <t>C007</t>
  </si>
  <si>
    <t>ALFOMBRILLA</t>
  </si>
  <si>
    <t>C008</t>
  </si>
  <si>
    <t>PROCESADOR</t>
  </si>
  <si>
    <t>C009</t>
  </si>
  <si>
    <t>DISCO</t>
  </si>
  <si>
    <t>C010</t>
  </si>
  <si>
    <t>TARJETA VIDEO</t>
  </si>
  <si>
    <t>UNIDADES PEDIDAS</t>
  </si>
  <si>
    <t>NOMBRE ARTICULO</t>
  </si>
  <si>
    <t>PRECIO ARTICULO</t>
  </si>
  <si>
    <t>FECHA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</si>
</sst>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-&quot;$&quot;\ * #,##0.0_-;\-&quot;$&quot;\ * #,##0.0_-;_-&quot;$&quot;\ * &quot;-&quot;??_-;_-@_-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2" fillId="0" borderId="0" xfId="2" applyNumberFormat="1" applyFont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</cellXfs>
  <cellStyles count="3">
    <cellStyle name="Euro" xfId="1" xr:uid="{00000000-0005-0000-0000-000000000000}"/>
    <cellStyle name="Moneda" xfId="2" builtinId="4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-&quot;$&quot;\ * #,##0.0_-;\-&quot;$&quot;\ * #,##0.0_-;_-&quot;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944FA-E2B1-4B5A-B0E3-0E5A2A8CD444}" name="Tabla2" displayName="Tabla2" ref="A1:D11" totalsRowShown="0" headerRowDxfId="0">
  <autoFilter ref="A1:D11" xr:uid="{5B0944FA-E2B1-4B5A-B0E3-0E5A2A8CD444}"/>
  <tableColumns count="4">
    <tableColumn id="1" xr3:uid="{2DA9301D-AC62-4BBC-8C29-E74E84A28442}" name="REFERENCIA" dataDxfId="3"/>
    <tableColumn id="2" xr3:uid="{F64A0D96-B4C7-412B-BE3C-CE08AF13AF17}" name="ARTICULO"/>
    <tableColumn id="3" xr3:uid="{8B57B0B6-A5DA-4779-8E80-91F1D7C8920C}" name="PROVEEDOR" dataDxfId="2"/>
    <tableColumn id="4" xr3:uid="{82887DDC-22FB-4648-8A01-7496729FEB31}" name="PRECIO" dataDxfId="1" dataCellStyle="Eu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8BBD4-AE0C-41C1-9501-A2047F76913C}" name="Tabla1" displayName="Tabla1" ref="A1:F36" totalsRowShown="0" headerRowDxfId="4" dataDxfId="5">
  <autoFilter ref="A1:F36" xr:uid="{0018BBD4-AE0C-41C1-9501-A2047F76913C}"/>
  <tableColumns count="6">
    <tableColumn id="1" xr3:uid="{FB09033A-F26B-4077-BFCE-4184F36F6BF9}" name="REFERENCIA" dataDxfId="11"/>
    <tableColumn id="2" xr3:uid="{8B2A01A0-3E9B-4917-A8A3-CC1ABF3077EE}" name="UNIDADES PEDIDAS" dataDxfId="10"/>
    <tableColumn id="3" xr3:uid="{132B2005-6496-4064-8C2C-2AE35C0579EE}" name="NOMBRE ARTICULO" dataDxfId="9">
      <calculatedColumnFormula>VLOOKUP(A2, ARTICULOS!$A$2:$D$11,2,0)</calculatedColumnFormula>
    </tableColumn>
    <tableColumn id="4" xr3:uid="{F2C1A02B-8CF1-4892-9E7B-70DEDEA832E7}" name="PRECIO ARTICULO" dataDxfId="8" dataCellStyle="Moneda">
      <calculatedColumnFormula>+VLOOKUP(A2,ARTICULOS!$A$2:$D$11,4,)</calculatedColumnFormula>
    </tableColumn>
    <tableColumn id="5" xr3:uid="{287A3B62-E51B-4D6D-853C-B5C496224374}" name="FECHA PEDIDO" dataDxfId="7"/>
    <tableColumn id="6" xr3:uid="{1DE62924-1DD1-41A2-92B9-A371EB57764F}" name="PROVEEDOR" dataDxfId="6">
      <calculatedColumnFormula>VLOOKUP(Tabla1[[#This Row],[REFERENCIA]],Tabla2[#All],3,)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H9" sqref="H9"/>
    </sheetView>
  </sheetViews>
  <sheetFormatPr baseColWidth="10" defaultColWidth="11.42578125" defaultRowHeight="12.75" x14ac:dyDescent="0.2"/>
  <cols>
    <col min="1" max="1" width="14.7109375" style="2" customWidth="1"/>
    <col min="2" max="2" width="15.28515625" bestFit="1" customWidth="1"/>
    <col min="3" max="3" width="14.7109375" style="2" customWidth="1"/>
    <col min="4" max="4" width="11.28515625" style="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6" x14ac:dyDescent="0.2">
      <c r="A2" s="2" t="s">
        <v>4</v>
      </c>
      <c r="B2" t="s">
        <v>5</v>
      </c>
      <c r="C2" s="2" t="s">
        <v>6</v>
      </c>
      <c r="D2" s="4">
        <v>50</v>
      </c>
    </row>
    <row r="3" spans="1:6" x14ac:dyDescent="0.2">
      <c r="A3" s="2" t="s">
        <v>7</v>
      </c>
      <c r="B3" t="s">
        <v>8</v>
      </c>
      <c r="C3" s="2" t="s">
        <v>6</v>
      </c>
      <c r="D3" s="4">
        <v>10</v>
      </c>
    </row>
    <row r="4" spans="1:6" x14ac:dyDescent="0.2">
      <c r="A4" s="2" t="s">
        <v>9</v>
      </c>
      <c r="B4" t="s">
        <v>10</v>
      </c>
      <c r="C4" s="2" t="s">
        <v>6</v>
      </c>
      <c r="D4" s="4">
        <v>12</v>
      </c>
    </row>
    <row r="5" spans="1:6" x14ac:dyDescent="0.2">
      <c r="A5" s="2" t="s">
        <v>11</v>
      </c>
      <c r="B5" t="s">
        <v>12</v>
      </c>
      <c r="C5" s="2" t="s">
        <v>13</v>
      </c>
      <c r="D5" s="4">
        <v>200</v>
      </c>
    </row>
    <row r="6" spans="1:6" x14ac:dyDescent="0.2">
      <c r="A6" s="2" t="s">
        <v>14</v>
      </c>
      <c r="B6" t="s">
        <v>15</v>
      </c>
      <c r="C6" s="2" t="s">
        <v>13</v>
      </c>
      <c r="D6" s="4">
        <v>150</v>
      </c>
    </row>
    <row r="7" spans="1:6" x14ac:dyDescent="0.2">
      <c r="A7" s="2" t="s">
        <v>16</v>
      </c>
      <c r="B7" t="s">
        <v>17</v>
      </c>
      <c r="C7" s="2" t="s">
        <v>6</v>
      </c>
      <c r="D7" s="4">
        <v>150</v>
      </c>
      <c r="F7" s="1"/>
    </row>
    <row r="8" spans="1:6" x14ac:dyDescent="0.2">
      <c r="A8" s="2" t="s">
        <v>18</v>
      </c>
      <c r="B8" t="s">
        <v>19</v>
      </c>
      <c r="C8" s="2" t="s">
        <v>6</v>
      </c>
      <c r="D8" s="4">
        <v>3</v>
      </c>
    </row>
    <row r="9" spans="1:6" x14ac:dyDescent="0.2">
      <c r="A9" s="2" t="s">
        <v>20</v>
      </c>
      <c r="B9" t="s">
        <v>21</v>
      </c>
      <c r="C9" s="2" t="s">
        <v>13</v>
      </c>
      <c r="D9" s="4">
        <v>300</v>
      </c>
    </row>
    <row r="10" spans="1:6" x14ac:dyDescent="0.2">
      <c r="A10" s="2" t="s">
        <v>22</v>
      </c>
      <c r="B10" t="s">
        <v>23</v>
      </c>
      <c r="C10" s="2" t="s">
        <v>13</v>
      </c>
      <c r="D10" s="4">
        <v>100</v>
      </c>
    </row>
    <row r="11" spans="1:6" x14ac:dyDescent="0.2">
      <c r="A11" s="2" t="s">
        <v>24</v>
      </c>
      <c r="B11" t="s">
        <v>25</v>
      </c>
      <c r="C11" s="2" t="s">
        <v>13</v>
      </c>
      <c r="D11" s="4">
        <v>30</v>
      </c>
    </row>
  </sheetData>
  <phoneticPr fontId="3" type="noConversion"/>
  <printOptions headings="1" gridLines="1"/>
  <pageMargins left="0.78740157480314965" right="0.78740157480314965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workbookViewId="0">
      <selection activeCell="J17" sqref="J17"/>
    </sheetView>
  </sheetViews>
  <sheetFormatPr baseColWidth="10" defaultColWidth="11.42578125" defaultRowHeight="12.75" x14ac:dyDescent="0.2"/>
  <cols>
    <col min="1" max="1" width="14.7109375" style="9" customWidth="1"/>
    <col min="2" max="2" width="21.28515625" style="9" customWidth="1"/>
    <col min="3" max="3" width="21.140625" style="9" customWidth="1"/>
    <col min="4" max="4" width="21.28515625" style="12" customWidth="1"/>
    <col min="5" max="5" width="16.85546875" style="9" customWidth="1"/>
    <col min="6" max="6" width="14.7109375" style="9" customWidth="1"/>
    <col min="7" max="7" width="11.42578125" style="8"/>
    <col min="8" max="8" width="20.5703125" style="8" bestFit="1" customWidth="1"/>
    <col min="9" max="9" width="12.7109375" style="8" bestFit="1" customWidth="1"/>
    <col min="10" max="16384" width="11.42578125" style="8"/>
  </cols>
  <sheetData>
    <row r="1" spans="1:6" s="6" customFormat="1" ht="25.5" x14ac:dyDescent="0.2">
      <c r="A1" s="6" t="s">
        <v>0</v>
      </c>
      <c r="B1" s="7" t="s">
        <v>26</v>
      </c>
      <c r="C1" s="7" t="s">
        <v>27</v>
      </c>
      <c r="D1" s="11" t="s">
        <v>28</v>
      </c>
      <c r="E1" s="7" t="s">
        <v>29</v>
      </c>
      <c r="F1" s="6" t="s">
        <v>2</v>
      </c>
    </row>
    <row r="2" spans="1:6" s="5" customFormat="1" x14ac:dyDescent="0.2">
      <c r="A2" s="9" t="s">
        <v>4</v>
      </c>
      <c r="B2" s="9">
        <v>18</v>
      </c>
      <c r="C2" s="9" t="str">
        <f>VLOOKUP(A2, ARTICULOS!$A$2:$D$11,2,0)</f>
        <v>MODEM</v>
      </c>
      <c r="D2" s="12">
        <f>+VLOOKUP(A2,ARTICULOS!$A$2:$D$11,4,)</f>
        <v>50</v>
      </c>
      <c r="E2" s="10">
        <v>37299</v>
      </c>
      <c r="F2" s="9" t="str">
        <f>VLOOKUP(Tabla1[[#This Row],[REFERENCIA]],Tabla2[#All],3,)</f>
        <v>P001</v>
      </c>
    </row>
    <row r="3" spans="1:6" s="5" customFormat="1" x14ac:dyDescent="0.2">
      <c r="A3" s="9" t="s">
        <v>7</v>
      </c>
      <c r="B3" s="9">
        <v>20</v>
      </c>
      <c r="C3" s="9" t="str">
        <f>VLOOKUP(A3, ARTICULOS!$A$2:$D$11,2,0)</f>
        <v>RATON</v>
      </c>
      <c r="D3" s="12">
        <f>+VLOOKUP(A3,ARTICULOS!$A$2:$D$11,4,)</f>
        <v>10</v>
      </c>
      <c r="E3" s="10">
        <v>37340</v>
      </c>
      <c r="F3" s="9" t="str">
        <f>VLOOKUP(Tabla1[[#This Row],[REFERENCIA]],Tabla2[#All],3,)</f>
        <v>P001</v>
      </c>
    </row>
    <row r="4" spans="1:6" s="5" customFormat="1" x14ac:dyDescent="0.2">
      <c r="A4" s="9" t="s">
        <v>9</v>
      </c>
      <c r="B4" s="9">
        <v>30</v>
      </c>
      <c r="C4" s="9" t="str">
        <f>VLOOKUP(A4, ARTICULOS!$A$2:$D$11,2,0)</f>
        <v>TECLADO</v>
      </c>
      <c r="D4" s="12">
        <f>+VLOOKUP(A4,ARTICULOS!$A$2:$D$11,4,)</f>
        <v>12</v>
      </c>
      <c r="E4" s="10">
        <v>37346</v>
      </c>
      <c r="F4" s="9" t="str">
        <f>VLOOKUP(Tabla1[[#This Row],[REFERENCIA]],Tabla2[#All],3,)</f>
        <v>P001</v>
      </c>
    </row>
    <row r="5" spans="1:6" s="5" customFormat="1" x14ac:dyDescent="0.2">
      <c r="A5" s="9" t="s">
        <v>4</v>
      </c>
      <c r="B5" s="9">
        <v>35</v>
      </c>
      <c r="C5" s="9" t="str">
        <f>VLOOKUP(A5, ARTICULOS!$A$2:$D$11,2,0)</f>
        <v>MODEM</v>
      </c>
      <c r="D5" s="12">
        <f>+VLOOKUP(A5,ARTICULOS!$A$2:$D$11,4,)</f>
        <v>50</v>
      </c>
      <c r="E5" s="10">
        <v>37370</v>
      </c>
      <c r="F5" s="9" t="str">
        <f>VLOOKUP(Tabla1[[#This Row],[REFERENCIA]],Tabla2[#All],3,)</f>
        <v>P001</v>
      </c>
    </row>
    <row r="6" spans="1:6" s="5" customFormat="1" x14ac:dyDescent="0.2">
      <c r="A6" s="9" t="s">
        <v>11</v>
      </c>
      <c r="B6" s="9">
        <v>40</v>
      </c>
      <c r="C6" s="9" t="str">
        <f>VLOOKUP(A6, ARTICULOS!$A$2:$D$11,2,0)</f>
        <v>TORRE</v>
      </c>
      <c r="D6" s="12">
        <f>+VLOOKUP(A6,ARTICULOS!$A$2:$D$11,4,)</f>
        <v>200</v>
      </c>
      <c r="E6" s="10">
        <v>37376</v>
      </c>
      <c r="F6" s="9" t="str">
        <f>VLOOKUP(Tabla1[[#This Row],[REFERENCIA]],Tabla2[#All],3,)</f>
        <v>P002</v>
      </c>
    </row>
    <row r="7" spans="1:6" s="5" customFormat="1" x14ac:dyDescent="0.2">
      <c r="A7" s="9" t="s">
        <v>9</v>
      </c>
      <c r="B7" s="9">
        <v>10</v>
      </c>
      <c r="C7" s="9" t="str">
        <f>VLOOKUP(A7, ARTICULOS!$A$2:$D$11,2,0)</f>
        <v>TECLADO</v>
      </c>
      <c r="D7" s="12">
        <f>+VLOOKUP(A7,ARTICULOS!$A$2:$D$11,4,)</f>
        <v>12</v>
      </c>
      <c r="E7" s="10">
        <v>37401</v>
      </c>
      <c r="F7" s="9" t="str">
        <f>VLOOKUP(Tabla1[[#This Row],[REFERENCIA]],Tabla2[#All],3,)</f>
        <v>P001</v>
      </c>
    </row>
    <row r="8" spans="1:6" s="5" customFormat="1" x14ac:dyDescent="0.2">
      <c r="A8" s="9" t="s">
        <v>4</v>
      </c>
      <c r="B8" s="9">
        <v>8</v>
      </c>
      <c r="C8" s="9" t="str">
        <f>VLOOKUP(A8, ARTICULOS!$A$2:$D$11,2,0)</f>
        <v>MODEM</v>
      </c>
      <c r="D8" s="12">
        <f>+VLOOKUP(A8,ARTICULOS!$A$2:$D$11,4,)</f>
        <v>50</v>
      </c>
      <c r="E8" s="10">
        <v>37404</v>
      </c>
      <c r="F8" s="9" t="str">
        <f>VLOOKUP(Tabla1[[#This Row],[REFERENCIA]],Tabla2[#All],3,)</f>
        <v>P001</v>
      </c>
    </row>
    <row r="9" spans="1:6" s="5" customFormat="1" x14ac:dyDescent="0.2">
      <c r="A9" s="9" t="s">
        <v>14</v>
      </c>
      <c r="B9" s="9">
        <v>90</v>
      </c>
      <c r="C9" s="9" t="str">
        <f>VLOOKUP(A9, ARTICULOS!$A$2:$D$11,2,0)</f>
        <v>CAJA</v>
      </c>
      <c r="D9" s="12">
        <f>+VLOOKUP(A9,ARTICULOS!$A$2:$D$11,4,)</f>
        <v>150</v>
      </c>
      <c r="E9" s="10">
        <v>37408</v>
      </c>
      <c r="F9" s="9" t="str">
        <f>VLOOKUP(Tabla1[[#This Row],[REFERENCIA]],Tabla2[#All],3,)</f>
        <v>P002</v>
      </c>
    </row>
    <row r="10" spans="1:6" s="5" customFormat="1" x14ac:dyDescent="0.2">
      <c r="A10" s="9" t="s">
        <v>16</v>
      </c>
      <c r="B10" s="9">
        <v>120</v>
      </c>
      <c r="C10" s="9" t="str">
        <f>VLOOKUP(A10, ARTICULOS!$A$2:$D$11,2,0)</f>
        <v>MONITOR</v>
      </c>
      <c r="D10" s="12">
        <f>+VLOOKUP(A10,ARTICULOS!$A$2:$D$11,4,)</f>
        <v>150</v>
      </c>
      <c r="E10" s="10">
        <v>37417</v>
      </c>
      <c r="F10" s="9" t="str">
        <f>VLOOKUP(Tabla1[[#This Row],[REFERENCIA]],Tabla2[#All],3,)</f>
        <v>P001</v>
      </c>
    </row>
    <row r="11" spans="1:6" s="5" customFormat="1" x14ac:dyDescent="0.2">
      <c r="A11" s="9" t="s">
        <v>14</v>
      </c>
      <c r="B11" s="9">
        <v>90</v>
      </c>
      <c r="C11" s="9" t="str">
        <f>VLOOKUP(A11, ARTICULOS!$A$2:$D$11,2,0)</f>
        <v>CAJA</v>
      </c>
      <c r="D11" s="12">
        <f>+VLOOKUP(A11,ARTICULOS!$A$2:$D$11,4,)</f>
        <v>150</v>
      </c>
      <c r="E11" s="10">
        <v>37427</v>
      </c>
      <c r="F11" s="9" t="str">
        <f>VLOOKUP(Tabla1[[#This Row],[REFERENCIA]],Tabla2[#All],3,)</f>
        <v>P002</v>
      </c>
    </row>
    <row r="12" spans="1:6" s="5" customFormat="1" x14ac:dyDescent="0.2">
      <c r="A12" s="9" t="s">
        <v>16</v>
      </c>
      <c r="B12" s="9">
        <v>65</v>
      </c>
      <c r="C12" s="9" t="str">
        <f>VLOOKUP(A12, ARTICULOS!$A$2:$D$11,2,0)</f>
        <v>MONITOR</v>
      </c>
      <c r="D12" s="12">
        <f>+VLOOKUP(A12,ARTICULOS!$A$2:$D$11,4,)</f>
        <v>150</v>
      </c>
      <c r="E12" s="10">
        <v>37444</v>
      </c>
      <c r="F12" s="9" t="str">
        <f>VLOOKUP(Tabla1[[#This Row],[REFERENCIA]],Tabla2[#All],3,)</f>
        <v>P001</v>
      </c>
    </row>
    <row r="13" spans="1:6" s="5" customFormat="1" x14ac:dyDescent="0.2">
      <c r="A13" s="9" t="s">
        <v>11</v>
      </c>
      <c r="B13" s="9">
        <v>70</v>
      </c>
      <c r="C13" s="9" t="str">
        <f>VLOOKUP(A13, ARTICULOS!$A$2:$D$11,2,0)</f>
        <v>TORRE</v>
      </c>
      <c r="D13" s="12">
        <f>+VLOOKUP(A13,ARTICULOS!$A$2:$D$11,4,)</f>
        <v>200</v>
      </c>
      <c r="E13" s="10">
        <v>37504</v>
      </c>
      <c r="F13" s="9" t="str">
        <f>VLOOKUP(Tabla1[[#This Row],[REFERENCIA]],Tabla2[#All],3,)</f>
        <v>P002</v>
      </c>
    </row>
    <row r="14" spans="1:6" s="5" customFormat="1" x14ac:dyDescent="0.2">
      <c r="A14" s="9" t="s">
        <v>9</v>
      </c>
      <c r="B14" s="9">
        <v>30</v>
      </c>
      <c r="C14" s="9" t="str">
        <f>VLOOKUP(A14, ARTICULOS!$A$2:$D$11,2,0)</f>
        <v>TECLADO</v>
      </c>
      <c r="D14" s="12">
        <f>+VLOOKUP(A14,ARTICULOS!$A$2:$D$11,4,)</f>
        <v>12</v>
      </c>
      <c r="E14" s="10">
        <v>37514</v>
      </c>
      <c r="F14" s="9" t="str">
        <f>VLOOKUP(Tabla1[[#This Row],[REFERENCIA]],Tabla2[#All],3,)</f>
        <v>P001</v>
      </c>
    </row>
    <row r="15" spans="1:6" s="5" customFormat="1" x14ac:dyDescent="0.2">
      <c r="A15" s="9" t="s">
        <v>22</v>
      </c>
      <c r="B15" s="9">
        <v>20</v>
      </c>
      <c r="C15" s="9" t="str">
        <f>VLOOKUP(A15, ARTICULOS!$A$2:$D$11,2,0)</f>
        <v>DISCO</v>
      </c>
      <c r="D15" s="12">
        <f>+VLOOKUP(A15,ARTICULOS!$A$2:$D$11,4,)</f>
        <v>100</v>
      </c>
      <c r="E15" s="10">
        <v>37529</v>
      </c>
      <c r="F15" s="9" t="str">
        <f>VLOOKUP(Tabla1[[#This Row],[REFERENCIA]],Tabla2[#All],3,)</f>
        <v>P002</v>
      </c>
    </row>
    <row r="16" spans="1:6" s="5" customFormat="1" x14ac:dyDescent="0.2">
      <c r="A16" s="9" t="s">
        <v>4</v>
      </c>
      <c r="B16" s="9">
        <v>45</v>
      </c>
      <c r="C16" s="9" t="str">
        <f>VLOOKUP(A16, ARTICULOS!$A$2:$D$11,2,0)</f>
        <v>MODEM</v>
      </c>
      <c r="D16" s="12">
        <f>+VLOOKUP(A16,ARTICULOS!$A$2:$D$11,4,)</f>
        <v>50</v>
      </c>
      <c r="E16" s="10">
        <v>37541</v>
      </c>
      <c r="F16" s="9" t="str">
        <f>VLOOKUP(Tabla1[[#This Row],[REFERENCIA]],Tabla2[#All],3,)</f>
        <v>P001</v>
      </c>
    </row>
    <row r="17" spans="1:6" s="5" customFormat="1" x14ac:dyDescent="0.2">
      <c r="A17" s="9" t="s">
        <v>22</v>
      </c>
      <c r="B17" s="9">
        <v>61</v>
      </c>
      <c r="C17" s="9" t="str">
        <f>VLOOKUP(A17, ARTICULOS!$A$2:$D$11,2,0)</f>
        <v>DISCO</v>
      </c>
      <c r="D17" s="12">
        <f>+VLOOKUP(A17,ARTICULOS!$A$2:$D$11,4,)</f>
        <v>100</v>
      </c>
      <c r="E17" s="10">
        <v>37547</v>
      </c>
      <c r="F17" s="9" t="str">
        <f>VLOOKUP(Tabla1[[#This Row],[REFERENCIA]],Tabla2[#All],3,)</f>
        <v>P002</v>
      </c>
    </row>
    <row r="18" spans="1:6" s="5" customFormat="1" x14ac:dyDescent="0.2">
      <c r="A18" s="9" t="s">
        <v>14</v>
      </c>
      <c r="B18" s="9">
        <v>70</v>
      </c>
      <c r="C18" s="9" t="str">
        <f>VLOOKUP(A18, ARTICULOS!$A$2:$D$11,2,0)</f>
        <v>CAJA</v>
      </c>
      <c r="D18" s="12">
        <f>+VLOOKUP(A18,ARTICULOS!$A$2:$D$11,4,)</f>
        <v>150</v>
      </c>
      <c r="E18" s="10">
        <v>37585</v>
      </c>
      <c r="F18" s="9" t="str">
        <f>VLOOKUP(Tabla1[[#This Row],[REFERENCIA]],Tabla2[#All],3,)</f>
        <v>P002</v>
      </c>
    </row>
    <row r="19" spans="1:6" s="5" customFormat="1" x14ac:dyDescent="0.2">
      <c r="A19" s="9" t="s">
        <v>9</v>
      </c>
      <c r="B19" s="9">
        <v>75</v>
      </c>
      <c r="C19" s="9" t="str">
        <f>VLOOKUP(A19, ARTICULOS!$A$2:$D$11,2,0)</f>
        <v>TECLADO</v>
      </c>
      <c r="D19" s="12">
        <f>+VLOOKUP(A19,ARTICULOS!$A$2:$D$11,4,)</f>
        <v>12</v>
      </c>
      <c r="E19" s="10">
        <v>37609</v>
      </c>
      <c r="F19" s="9" t="str">
        <f>VLOOKUP(Tabla1[[#This Row],[REFERENCIA]],Tabla2[#All],3,)</f>
        <v>P001</v>
      </c>
    </row>
    <row r="20" spans="1:6" s="5" customFormat="1" x14ac:dyDescent="0.2">
      <c r="A20" s="9" t="s">
        <v>9</v>
      </c>
      <c r="B20" s="9">
        <v>20</v>
      </c>
      <c r="C20" s="9" t="str">
        <f>VLOOKUP(A20, ARTICULOS!$A$2:$D$11,2,0)</f>
        <v>TECLADO</v>
      </c>
      <c r="D20" s="12">
        <f>+VLOOKUP(A20,ARTICULOS!$A$2:$D$11,4,)</f>
        <v>12</v>
      </c>
      <c r="E20" s="10">
        <v>37626</v>
      </c>
      <c r="F20" s="9" t="str">
        <f>VLOOKUP(Tabla1[[#This Row],[REFERENCIA]],Tabla2[#All],3,)</f>
        <v>P001</v>
      </c>
    </row>
    <row r="21" spans="1:6" s="5" customFormat="1" x14ac:dyDescent="0.2">
      <c r="A21" s="9" t="s">
        <v>14</v>
      </c>
      <c r="B21" s="9">
        <v>150</v>
      </c>
      <c r="C21" s="9" t="str">
        <f>VLOOKUP(A21, ARTICULOS!$A$2:$D$11,2,0)</f>
        <v>CAJA</v>
      </c>
      <c r="D21" s="12">
        <f>+VLOOKUP(A21,ARTICULOS!$A$2:$D$11,4,)</f>
        <v>150</v>
      </c>
      <c r="E21" s="10">
        <v>37636</v>
      </c>
      <c r="F21" s="9" t="str">
        <f>VLOOKUP(Tabla1[[#This Row],[REFERENCIA]],Tabla2[#All],3,)</f>
        <v>P002</v>
      </c>
    </row>
    <row r="22" spans="1:6" s="5" customFormat="1" x14ac:dyDescent="0.2">
      <c r="A22" s="9" t="s">
        <v>18</v>
      </c>
      <c r="B22" s="9">
        <v>40</v>
      </c>
      <c r="C22" s="9" t="str">
        <f>VLOOKUP(A22, ARTICULOS!$A$2:$D$11,2,0)</f>
        <v>ALFOMBRILLA</v>
      </c>
      <c r="D22" s="12">
        <f>+VLOOKUP(A22,ARTICULOS!$A$2:$D$11,4,)</f>
        <v>3</v>
      </c>
      <c r="E22" s="10">
        <v>37662</v>
      </c>
      <c r="F22" s="9" t="str">
        <f>VLOOKUP(Tabla1[[#This Row],[REFERENCIA]],Tabla2[#All],3,)</f>
        <v>P001</v>
      </c>
    </row>
    <row r="23" spans="1:6" s="5" customFormat="1" x14ac:dyDescent="0.2">
      <c r="A23" s="9" t="s">
        <v>20</v>
      </c>
      <c r="B23" s="9">
        <v>80</v>
      </c>
      <c r="C23" s="9" t="str">
        <f>VLOOKUP(A23, ARTICULOS!$A$2:$D$11,2,0)</f>
        <v>PROCESADOR</v>
      </c>
      <c r="D23" s="12">
        <f>+VLOOKUP(A23,ARTICULOS!$A$2:$D$11,4,)</f>
        <v>300</v>
      </c>
      <c r="E23" s="10">
        <v>37736</v>
      </c>
      <c r="F23" s="9" t="str">
        <f>VLOOKUP(Tabla1[[#This Row],[REFERENCIA]],Tabla2[#All],3,)</f>
        <v>P002</v>
      </c>
    </row>
    <row r="24" spans="1:6" s="5" customFormat="1" x14ac:dyDescent="0.2">
      <c r="A24" s="9" t="s">
        <v>16</v>
      </c>
      <c r="B24" s="9">
        <v>100</v>
      </c>
      <c r="C24" s="9" t="str">
        <f>VLOOKUP(A24, ARTICULOS!$A$2:$D$11,2,0)</f>
        <v>MONITOR</v>
      </c>
      <c r="D24" s="12">
        <f>+VLOOKUP(A24,ARTICULOS!$A$2:$D$11,4,)</f>
        <v>150</v>
      </c>
      <c r="E24" s="10">
        <v>37771</v>
      </c>
      <c r="F24" s="9" t="str">
        <f>VLOOKUP(Tabla1[[#This Row],[REFERENCIA]],Tabla2[#All],3,)</f>
        <v>P001</v>
      </c>
    </row>
    <row r="25" spans="1:6" s="5" customFormat="1" x14ac:dyDescent="0.2">
      <c r="A25" s="9" t="s">
        <v>20</v>
      </c>
      <c r="B25" s="9">
        <v>150</v>
      </c>
      <c r="C25" s="9" t="str">
        <f>VLOOKUP(A25, ARTICULOS!$A$2:$D$11,2,0)</f>
        <v>PROCESADOR</v>
      </c>
      <c r="D25" s="12">
        <f>+VLOOKUP(A25,ARTICULOS!$A$2:$D$11,4,)</f>
        <v>300</v>
      </c>
      <c r="E25" s="10">
        <v>37773</v>
      </c>
      <c r="F25" s="9" t="str">
        <f>VLOOKUP(Tabla1[[#This Row],[REFERENCIA]],Tabla2[#All],3,)</f>
        <v>P002</v>
      </c>
    </row>
    <row r="26" spans="1:6" s="5" customFormat="1" x14ac:dyDescent="0.2">
      <c r="A26" s="9" t="s">
        <v>4</v>
      </c>
      <c r="B26" s="9">
        <v>125</v>
      </c>
      <c r="C26" s="9" t="str">
        <f>VLOOKUP(A26, ARTICULOS!$A$2:$D$11,2,0)</f>
        <v>MODEM</v>
      </c>
      <c r="D26" s="12">
        <f>+VLOOKUP(A26,ARTICULOS!$A$2:$D$11,4,)</f>
        <v>50</v>
      </c>
      <c r="E26" s="10">
        <v>37790</v>
      </c>
      <c r="F26" s="9" t="str">
        <f>VLOOKUP(Tabla1[[#This Row],[REFERENCIA]],Tabla2[#All],3,)</f>
        <v>P001</v>
      </c>
    </row>
    <row r="27" spans="1:6" s="5" customFormat="1" x14ac:dyDescent="0.2">
      <c r="A27" s="9" t="s">
        <v>16</v>
      </c>
      <c r="B27" s="9">
        <v>30</v>
      </c>
      <c r="C27" s="9" t="str">
        <f>VLOOKUP(A27, ARTICULOS!$A$2:$D$11,2,0)</f>
        <v>MONITOR</v>
      </c>
      <c r="D27" s="12">
        <f>+VLOOKUP(A27,ARTICULOS!$A$2:$D$11,4,)</f>
        <v>150</v>
      </c>
      <c r="E27" s="10">
        <v>37822</v>
      </c>
      <c r="F27" s="9" t="str">
        <f>VLOOKUP(Tabla1[[#This Row],[REFERENCIA]],Tabla2[#All],3,)</f>
        <v>P001</v>
      </c>
    </row>
    <row r="28" spans="1:6" s="5" customFormat="1" x14ac:dyDescent="0.2">
      <c r="A28" s="9" t="s">
        <v>14</v>
      </c>
      <c r="B28" s="9">
        <v>10</v>
      </c>
      <c r="C28" s="9" t="str">
        <f>VLOOKUP(A28, ARTICULOS!$A$2:$D$11,2,0)</f>
        <v>CAJA</v>
      </c>
      <c r="D28" s="12">
        <f>+VLOOKUP(A28,ARTICULOS!$A$2:$D$11,4,)</f>
        <v>150</v>
      </c>
      <c r="E28" s="10">
        <v>37865</v>
      </c>
      <c r="F28" s="9" t="str">
        <f>VLOOKUP(Tabla1[[#This Row],[REFERENCIA]],Tabla2[#All],3,)</f>
        <v>P002</v>
      </c>
    </row>
    <row r="29" spans="1:6" s="5" customFormat="1" x14ac:dyDescent="0.2">
      <c r="A29" s="9" t="s">
        <v>20</v>
      </c>
      <c r="B29" s="9">
        <v>5</v>
      </c>
      <c r="C29" s="9" t="str">
        <f>VLOOKUP(A29, ARTICULOS!$A$2:$D$11,2,0)</f>
        <v>PROCESADOR</v>
      </c>
      <c r="D29" s="12">
        <f>+VLOOKUP(A29,ARTICULOS!$A$2:$D$11,4,)</f>
        <v>300</v>
      </c>
      <c r="E29" s="10">
        <v>37874</v>
      </c>
      <c r="F29" s="9" t="str">
        <f>VLOOKUP(Tabla1[[#This Row],[REFERENCIA]],Tabla2[#All],3,)</f>
        <v>P002</v>
      </c>
    </row>
    <row r="30" spans="1:6" s="5" customFormat="1" x14ac:dyDescent="0.2">
      <c r="A30" s="9" t="s">
        <v>22</v>
      </c>
      <c r="B30" s="9">
        <v>125</v>
      </c>
      <c r="C30" s="9" t="str">
        <f>VLOOKUP(A30, ARTICULOS!$A$2:$D$11,2,0)</f>
        <v>DISCO</v>
      </c>
      <c r="D30" s="12">
        <f>+VLOOKUP(A30,ARTICULOS!$A$2:$D$11,4,)</f>
        <v>100</v>
      </c>
      <c r="E30" s="10">
        <v>37882</v>
      </c>
      <c r="F30" s="9" t="str">
        <f>VLOOKUP(Tabla1[[#This Row],[REFERENCIA]],Tabla2[#All],3,)</f>
        <v>P002</v>
      </c>
    </row>
    <row r="31" spans="1:6" s="5" customFormat="1" x14ac:dyDescent="0.2">
      <c r="A31" s="9" t="s">
        <v>9</v>
      </c>
      <c r="B31" s="9">
        <v>145</v>
      </c>
      <c r="C31" s="9" t="str">
        <f>VLOOKUP(A31, ARTICULOS!$A$2:$D$11,2,0)</f>
        <v>TECLADO</v>
      </c>
      <c r="D31" s="12">
        <f>+VLOOKUP(A31,ARTICULOS!$A$2:$D$11,4,)</f>
        <v>12</v>
      </c>
      <c r="E31" s="10">
        <v>37894</v>
      </c>
      <c r="F31" s="9" t="str">
        <f>VLOOKUP(Tabla1[[#This Row],[REFERENCIA]],Tabla2[#All],3,)</f>
        <v>P001</v>
      </c>
    </row>
    <row r="32" spans="1:6" s="5" customFormat="1" x14ac:dyDescent="0.2">
      <c r="A32" s="9" t="s">
        <v>7</v>
      </c>
      <c r="B32" s="9">
        <v>230</v>
      </c>
      <c r="C32" s="9" t="str">
        <f>VLOOKUP(A32, ARTICULOS!$A$2:$D$11,2,0)</f>
        <v>RATON</v>
      </c>
      <c r="D32" s="12">
        <f>+VLOOKUP(A32,ARTICULOS!$A$2:$D$11,4,)</f>
        <v>10</v>
      </c>
      <c r="E32" s="10">
        <v>37905</v>
      </c>
      <c r="F32" s="9" t="str">
        <f>VLOOKUP(Tabla1[[#This Row],[REFERENCIA]],Tabla2[#All],3,)</f>
        <v>P001</v>
      </c>
    </row>
    <row r="33" spans="1:6" s="5" customFormat="1" x14ac:dyDescent="0.2">
      <c r="A33" s="9" t="s">
        <v>24</v>
      </c>
      <c r="B33" s="9">
        <v>100</v>
      </c>
      <c r="C33" s="9" t="str">
        <f>VLOOKUP(A33, ARTICULOS!$A$2:$D$11,2,0)</f>
        <v>TARJETA VIDEO</v>
      </c>
      <c r="D33" s="12">
        <f>+VLOOKUP(A33,ARTICULOS!$A$2:$D$11,4,)</f>
        <v>30</v>
      </c>
      <c r="E33" s="10">
        <v>37914</v>
      </c>
      <c r="F33" s="9" t="str">
        <f>VLOOKUP(Tabla1[[#This Row],[REFERENCIA]],Tabla2[#All],3,)</f>
        <v>P002</v>
      </c>
    </row>
    <row r="34" spans="1:6" s="5" customFormat="1" x14ac:dyDescent="0.2">
      <c r="A34" s="9" t="s">
        <v>22</v>
      </c>
      <c r="B34" s="9">
        <v>150</v>
      </c>
      <c r="C34" s="9" t="str">
        <f>VLOOKUP(A34, ARTICULOS!$A$2:$D$11,2,0)</f>
        <v>DISCO</v>
      </c>
      <c r="D34" s="12">
        <f>+VLOOKUP(A34,ARTICULOS!$A$2:$D$11,4,)</f>
        <v>100</v>
      </c>
      <c r="E34" s="10">
        <v>37916</v>
      </c>
      <c r="F34" s="9" t="str">
        <f>VLOOKUP(Tabla1[[#This Row],[REFERENCIA]],Tabla2[#All],3,)</f>
        <v>P002</v>
      </c>
    </row>
    <row r="35" spans="1:6" s="5" customFormat="1" x14ac:dyDescent="0.2">
      <c r="A35" s="9" t="s">
        <v>7</v>
      </c>
      <c r="B35" s="9">
        <v>190</v>
      </c>
      <c r="C35" s="9" t="str">
        <f>VLOOKUP(A35, ARTICULOS!$A$2:$D$11,2,0)</f>
        <v>RATON</v>
      </c>
      <c r="D35" s="12">
        <f>+VLOOKUP(A35,ARTICULOS!$A$2:$D$11,4,)</f>
        <v>10</v>
      </c>
      <c r="E35" s="10">
        <v>37924</v>
      </c>
      <c r="F35" s="9" t="str">
        <f>VLOOKUP(Tabla1[[#This Row],[REFERENCIA]],Tabla2[#All],3,)</f>
        <v>P001</v>
      </c>
    </row>
    <row r="36" spans="1:6" s="5" customFormat="1" x14ac:dyDescent="0.2">
      <c r="A36" s="9" t="s">
        <v>24</v>
      </c>
      <c r="B36" s="9">
        <v>90</v>
      </c>
      <c r="C36" s="9" t="str">
        <f>VLOOKUP(A36, ARTICULOS!$A$2:$D$11,2,0)</f>
        <v>TARJETA VIDEO</v>
      </c>
      <c r="D36" s="12">
        <f>+VLOOKUP(A36,ARTICULOS!$A$2:$D$11,4,)</f>
        <v>30</v>
      </c>
      <c r="E36" s="10">
        <v>37940</v>
      </c>
      <c r="F36" s="9" t="str">
        <f>VLOOKUP(Tabla1[[#This Row],[REFERENCIA]],Tabla2[#All],3,)</f>
        <v>P002</v>
      </c>
    </row>
    <row r="37" spans="1:6" s="5" customFormat="1" x14ac:dyDescent="0.2">
      <c r="A37" s="9"/>
      <c r="B37" s="9"/>
      <c r="C37" s="9"/>
      <c r="D37" s="12"/>
      <c r="E37" s="10"/>
      <c r="F37" s="9"/>
    </row>
    <row r="38" spans="1:6" s="5" customFormat="1" x14ac:dyDescent="0.2">
      <c r="A38" s="9"/>
      <c r="B38" s="9"/>
      <c r="C38" s="9"/>
      <c r="D38" s="12"/>
      <c r="E38" s="10"/>
      <c r="F38" s="9"/>
    </row>
    <row r="39" spans="1:6" s="5" customFormat="1" x14ac:dyDescent="0.2">
      <c r="A39" s="9"/>
      <c r="B39" s="9"/>
      <c r="C39" s="9"/>
      <c r="D39" s="12"/>
      <c r="E39" s="10"/>
      <c r="F39" s="9"/>
    </row>
    <row r="40" spans="1:6" s="5" customFormat="1" x14ac:dyDescent="0.2">
      <c r="A40" s="9"/>
      <c r="B40" s="9"/>
      <c r="C40" s="9"/>
      <c r="D40" s="12"/>
      <c r="E40" s="10"/>
      <c r="F40" s="9"/>
    </row>
    <row r="41" spans="1:6" s="5" customFormat="1" x14ac:dyDescent="0.2">
      <c r="A41" s="9"/>
      <c r="B41" s="9"/>
      <c r="C41" s="9"/>
      <c r="D41" s="12"/>
      <c r="E41" s="10"/>
      <c r="F41" s="9"/>
    </row>
    <row r="42" spans="1:6" s="5" customFormat="1" x14ac:dyDescent="0.2">
      <c r="A42" s="9"/>
      <c r="B42" s="9"/>
      <c r="C42" s="9"/>
      <c r="D42" s="12"/>
      <c r="E42" s="10"/>
      <c r="F42" s="9"/>
    </row>
    <row r="43" spans="1:6" s="5" customFormat="1" x14ac:dyDescent="0.2">
      <c r="A43" s="9"/>
      <c r="B43" s="9"/>
      <c r="C43" s="9"/>
      <c r="D43" s="12"/>
      <c r="E43" s="10"/>
      <c r="F43" s="9"/>
    </row>
    <row r="44" spans="1:6" s="5" customFormat="1" x14ac:dyDescent="0.2">
      <c r="A44" s="9"/>
      <c r="B44" s="9"/>
      <c r="C44" s="9"/>
      <c r="D44" s="12"/>
      <c r="E44" s="10"/>
      <c r="F44" s="9"/>
    </row>
    <row r="45" spans="1:6" s="5" customFormat="1" x14ac:dyDescent="0.2">
      <c r="A45" s="9"/>
      <c r="B45" s="9"/>
      <c r="C45" s="9"/>
      <c r="D45" s="12"/>
      <c r="E45" s="9"/>
      <c r="F45" s="9"/>
    </row>
    <row r="46" spans="1:6" s="5" customFormat="1" x14ac:dyDescent="0.2">
      <c r="A46" s="9"/>
      <c r="B46" s="9"/>
      <c r="C46" s="9"/>
      <c r="D46" s="12"/>
      <c r="E46" s="9"/>
      <c r="F46" s="9"/>
    </row>
    <row r="47" spans="1:6" s="5" customFormat="1" x14ac:dyDescent="0.2">
      <c r="A47" s="9"/>
      <c r="B47" s="9"/>
      <c r="C47" s="9"/>
      <c r="D47" s="12"/>
      <c r="E47" s="9"/>
      <c r="F47" s="9"/>
    </row>
    <row r="48" spans="1:6" s="5" customFormat="1" x14ac:dyDescent="0.2">
      <c r="A48" s="9"/>
      <c r="B48" s="9"/>
      <c r="C48" s="9"/>
      <c r="D48" s="12"/>
      <c r="E48" s="9"/>
      <c r="F48" s="9"/>
    </row>
    <row r="49" spans="1:6" s="5" customFormat="1" x14ac:dyDescent="0.2">
      <c r="A49" s="9"/>
      <c r="B49" s="9"/>
      <c r="C49" s="9"/>
      <c r="D49" s="12"/>
      <c r="E49" s="9"/>
      <c r="F49" s="9"/>
    </row>
    <row r="50" spans="1:6" s="5" customFormat="1" x14ac:dyDescent="0.2">
      <c r="A50" s="9"/>
      <c r="B50" s="9"/>
      <c r="C50" s="9"/>
      <c r="D50" s="12"/>
      <c r="E50" s="9"/>
      <c r="F50" s="9"/>
    </row>
    <row r="51" spans="1:6" s="5" customFormat="1" x14ac:dyDescent="0.2">
      <c r="A51" s="9"/>
      <c r="B51" s="9"/>
      <c r="C51" s="9"/>
      <c r="D51" s="12"/>
      <c r="E51" s="9"/>
      <c r="F51" s="9"/>
    </row>
    <row r="52" spans="1:6" s="5" customFormat="1" x14ac:dyDescent="0.2">
      <c r="A52" s="9"/>
      <c r="B52" s="9"/>
      <c r="C52" s="9"/>
      <c r="D52" s="12"/>
      <c r="E52" s="9"/>
      <c r="F52" s="9"/>
    </row>
    <row r="53" spans="1:6" s="5" customFormat="1" x14ac:dyDescent="0.2">
      <c r="A53" s="9"/>
      <c r="B53" s="9"/>
      <c r="C53" s="9"/>
      <c r="D53" s="12"/>
      <c r="E53" s="9"/>
      <c r="F53" s="9"/>
    </row>
    <row r="54" spans="1:6" s="5" customFormat="1" x14ac:dyDescent="0.2">
      <c r="A54" s="9"/>
      <c r="B54" s="9"/>
      <c r="C54" s="9"/>
      <c r="D54" s="12"/>
      <c r="E54" s="9"/>
      <c r="F54" s="9"/>
    </row>
    <row r="55" spans="1:6" s="5" customFormat="1" x14ac:dyDescent="0.2">
      <c r="A55" s="9"/>
      <c r="B55" s="9"/>
      <c r="C55" s="9"/>
      <c r="D55" s="12"/>
      <c r="E55" s="9"/>
      <c r="F55" s="9"/>
    </row>
    <row r="56" spans="1:6" s="5" customFormat="1" x14ac:dyDescent="0.2">
      <c r="A56" s="9"/>
      <c r="B56" s="9"/>
      <c r="C56" s="9"/>
      <c r="D56" s="12"/>
      <c r="E56" s="9"/>
      <c r="F56" s="9"/>
    </row>
    <row r="57" spans="1:6" s="5" customFormat="1" x14ac:dyDescent="0.2">
      <c r="A57" s="9"/>
      <c r="B57" s="9"/>
      <c r="C57" s="9"/>
      <c r="D57" s="12"/>
      <c r="E57" s="9"/>
      <c r="F57" s="9"/>
    </row>
    <row r="58" spans="1:6" s="5" customFormat="1" x14ac:dyDescent="0.2">
      <c r="A58" s="9"/>
      <c r="B58" s="9"/>
      <c r="C58" s="9"/>
      <c r="D58" s="12"/>
      <c r="E58" s="9"/>
      <c r="F58" s="9"/>
    </row>
    <row r="59" spans="1:6" s="5" customFormat="1" x14ac:dyDescent="0.2">
      <c r="A59" s="9"/>
      <c r="B59" s="9"/>
      <c r="C59" s="9"/>
      <c r="D59" s="12"/>
      <c r="E59" s="9"/>
      <c r="F59" s="9"/>
    </row>
    <row r="60" spans="1:6" s="5" customFormat="1" x14ac:dyDescent="0.2">
      <c r="A60" s="9"/>
      <c r="B60" s="9"/>
      <c r="C60" s="9"/>
      <c r="D60" s="12"/>
      <c r="E60" s="9"/>
      <c r="F60" s="9"/>
    </row>
    <row r="61" spans="1:6" s="5" customFormat="1" x14ac:dyDescent="0.2">
      <c r="A61" s="9"/>
      <c r="B61" s="9"/>
      <c r="C61" s="9"/>
      <c r="D61" s="12"/>
      <c r="E61" s="9"/>
      <c r="F61" s="9"/>
    </row>
    <row r="62" spans="1:6" s="5" customFormat="1" x14ac:dyDescent="0.2">
      <c r="A62" s="9"/>
      <c r="B62" s="9"/>
      <c r="C62" s="9"/>
      <c r="D62" s="12"/>
      <c r="E62" s="9"/>
      <c r="F62" s="9"/>
    </row>
    <row r="63" spans="1:6" s="5" customFormat="1" x14ac:dyDescent="0.2">
      <c r="A63" s="9"/>
      <c r="B63" s="9"/>
      <c r="C63" s="9"/>
      <c r="D63" s="12"/>
      <c r="E63" s="9"/>
      <c r="F63" s="9"/>
    </row>
    <row r="64" spans="1:6" s="5" customFormat="1" x14ac:dyDescent="0.2">
      <c r="A64" s="9"/>
      <c r="B64" s="9"/>
      <c r="C64" s="9"/>
      <c r="D64" s="12"/>
      <c r="E64" s="9"/>
      <c r="F64" s="9"/>
    </row>
    <row r="65" spans="1:6" s="5" customFormat="1" x14ac:dyDescent="0.2">
      <c r="A65" s="9"/>
      <c r="B65" s="9"/>
      <c r="C65" s="9"/>
      <c r="D65" s="12"/>
      <c r="E65" s="9"/>
      <c r="F65" s="9"/>
    </row>
    <row r="66" spans="1:6" s="5" customFormat="1" x14ac:dyDescent="0.2">
      <c r="A66" s="9"/>
      <c r="B66" s="9"/>
      <c r="C66" s="9"/>
      <c r="D66" s="12"/>
      <c r="E66" s="9"/>
      <c r="F66" s="9"/>
    </row>
    <row r="67" spans="1:6" s="5" customFormat="1" x14ac:dyDescent="0.2">
      <c r="A67" s="9"/>
      <c r="B67" s="9"/>
      <c r="C67" s="9"/>
      <c r="D67" s="12"/>
      <c r="E67" s="9"/>
      <c r="F67" s="9"/>
    </row>
    <row r="68" spans="1:6" s="5" customFormat="1" x14ac:dyDescent="0.2">
      <c r="A68" s="9"/>
      <c r="B68" s="9"/>
      <c r="C68" s="9"/>
      <c r="D68" s="12"/>
      <c r="E68" s="9"/>
      <c r="F68" s="9"/>
    </row>
    <row r="69" spans="1:6" s="5" customFormat="1" x14ac:dyDescent="0.2">
      <c r="A69" s="9"/>
      <c r="B69" s="9"/>
      <c r="C69" s="9"/>
      <c r="D69" s="12"/>
      <c r="E69" s="9"/>
      <c r="F69" s="9"/>
    </row>
    <row r="70" spans="1:6" s="5" customFormat="1" x14ac:dyDescent="0.2">
      <c r="A70" s="9"/>
      <c r="B70" s="9"/>
      <c r="C70" s="9"/>
      <c r="D70" s="12"/>
      <c r="E70" s="9"/>
      <c r="F70" s="9"/>
    </row>
    <row r="71" spans="1:6" s="5" customFormat="1" x14ac:dyDescent="0.2">
      <c r="A71" s="9"/>
      <c r="B71" s="9"/>
      <c r="C71" s="9"/>
      <c r="D71" s="12"/>
      <c r="E71" s="9"/>
      <c r="F71" s="9"/>
    </row>
    <row r="72" spans="1:6" s="5" customFormat="1" x14ac:dyDescent="0.2">
      <c r="A72" s="9"/>
      <c r="B72" s="9"/>
      <c r="C72" s="9"/>
      <c r="D72" s="12"/>
      <c r="E72" s="9"/>
      <c r="F72" s="9"/>
    </row>
    <row r="73" spans="1:6" s="5" customFormat="1" x14ac:dyDescent="0.2">
      <c r="A73" s="9"/>
      <c r="B73" s="9"/>
      <c r="C73" s="9"/>
      <c r="D73" s="12"/>
      <c r="E73" s="9"/>
      <c r="F73" s="9"/>
    </row>
    <row r="74" spans="1:6" s="5" customFormat="1" x14ac:dyDescent="0.2">
      <c r="A74" s="9"/>
      <c r="B74" s="9"/>
      <c r="C74" s="9"/>
      <c r="D74" s="12"/>
      <c r="E74" s="9"/>
      <c r="F74" s="9"/>
    </row>
    <row r="75" spans="1:6" s="5" customFormat="1" x14ac:dyDescent="0.2">
      <c r="A75" s="9"/>
      <c r="B75" s="9"/>
      <c r="C75" s="9"/>
      <c r="D75" s="12"/>
      <c r="E75" s="9"/>
      <c r="F75" s="9"/>
    </row>
    <row r="76" spans="1:6" s="5" customFormat="1" x14ac:dyDescent="0.2">
      <c r="A76" s="9"/>
      <c r="B76" s="9"/>
      <c r="C76" s="9"/>
      <c r="D76" s="12"/>
      <c r="E76" s="9"/>
      <c r="F76" s="9"/>
    </row>
    <row r="77" spans="1:6" s="5" customFormat="1" x14ac:dyDescent="0.2">
      <c r="A77" s="9"/>
      <c r="B77" s="9"/>
      <c r="C77" s="9"/>
      <c r="D77" s="12"/>
      <c r="E77" s="9"/>
      <c r="F77" s="9"/>
    </row>
    <row r="78" spans="1:6" s="5" customFormat="1" x14ac:dyDescent="0.2">
      <c r="A78" s="9"/>
      <c r="B78" s="9"/>
      <c r="C78" s="9"/>
      <c r="D78" s="12"/>
      <c r="E78" s="9"/>
      <c r="F78" s="9"/>
    </row>
    <row r="79" spans="1:6" s="5" customFormat="1" x14ac:dyDescent="0.2">
      <c r="A79" s="9"/>
      <c r="B79" s="9"/>
      <c r="C79" s="9"/>
      <c r="D79" s="12"/>
      <c r="E79" s="9"/>
      <c r="F79" s="9"/>
    </row>
    <row r="80" spans="1:6" s="5" customFormat="1" x14ac:dyDescent="0.2">
      <c r="A80" s="9"/>
      <c r="B80" s="9"/>
      <c r="C80" s="9"/>
      <c r="D80" s="12"/>
      <c r="E80" s="9"/>
      <c r="F80" s="9"/>
    </row>
    <row r="81" spans="1:6" s="5" customFormat="1" x14ac:dyDescent="0.2">
      <c r="A81" s="9"/>
      <c r="B81" s="9"/>
      <c r="C81" s="9"/>
      <c r="D81" s="12"/>
      <c r="E81" s="9"/>
      <c r="F81" s="9"/>
    </row>
  </sheetData>
  <phoneticPr fontId="3" type="noConversion"/>
  <printOptions headings="1" gridLines="1"/>
  <pageMargins left="0.19685039370078741" right="0.19685039370078741" top="0.98425196850393704" bottom="0.98425196850393704" header="0" footer="0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ARTICULOS</vt:lpstr>
      <vt:lpstr>COMPRAS</vt:lpstr>
      <vt:lpstr>COMPRAS!Criterios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elias knaus</cp:lastModifiedBy>
  <cp:revision/>
  <dcterms:created xsi:type="dcterms:W3CDTF">2005-03-04T08:44:18Z</dcterms:created>
  <dcterms:modified xsi:type="dcterms:W3CDTF">2025-12-18T19:41:02Z</dcterms:modified>
  <cp:category/>
  <cp:contentStatus/>
</cp:coreProperties>
</file>