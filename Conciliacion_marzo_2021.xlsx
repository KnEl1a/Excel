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C50DC09-993E-4C9A-95AA-30A02ACEE620}" xr6:coauthVersionLast="47" xr6:coauthVersionMax="47" xr10:uidLastSave="{00000000-0000-0000-0000-000000000000}"/>
  <bookViews>
    <workbookView xWindow="-120" yWindow="-120" windowWidth="24240" windowHeight="13020" firstSheet="1" activeTab="4" xr2:uid="{00000000-000D-0000-FFFF-FFFF00000000}"/>
  </bookViews>
  <sheets>
    <sheet name="Recordatorio Sistemas contables" sheetId="5" r:id="rId1"/>
    <sheet name="Banco del Norte SA" sheetId="1" r:id="rId2"/>
    <sheet name="La Comercial SA de CV" sheetId="2" r:id="rId3"/>
    <sheet name="BD Aux" sheetId="3" r:id="rId4"/>
    <sheet name="FORMATO AUX de conciliació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4" l="1"/>
  <c r="I27" i="4"/>
  <c r="J16" i="3"/>
  <c r="I16" i="3"/>
  <c r="E12" i="3"/>
  <c r="D12" i="3"/>
  <c r="D9" i="1"/>
  <c r="C9" i="1"/>
</calcChain>
</file>

<file path=xl/sharedStrings.xml><?xml version="1.0" encoding="utf-8"?>
<sst xmlns="http://schemas.openxmlformats.org/spreadsheetml/2006/main" count="158" uniqueCount="61">
  <si>
    <t>Fecha</t>
  </si>
  <si>
    <t>Concepto</t>
  </si>
  <si>
    <t>Cargos</t>
  </si>
  <si>
    <t>Abonos</t>
  </si>
  <si>
    <t>01/03/2021</t>
  </si>
  <si>
    <t>Saldo inicial</t>
  </si>
  <si>
    <t>CH.794</t>
  </si>
  <si>
    <t>04/03/2021</t>
  </si>
  <si>
    <t>CH.791</t>
  </si>
  <si>
    <t>CH.730</t>
  </si>
  <si>
    <t>29/03/2021</t>
  </si>
  <si>
    <t>Depósito</t>
  </si>
  <si>
    <t>Pago intereses</t>
  </si>
  <si>
    <t>CH. 791 Honorarios</t>
  </si>
  <si>
    <t>CH. 794 Reembolso caja</t>
  </si>
  <si>
    <t>27/03/2021</t>
  </si>
  <si>
    <t>CH. 730 Luz</t>
  </si>
  <si>
    <t>28/03/2021</t>
  </si>
  <si>
    <t>CH. 811 Copias</t>
  </si>
  <si>
    <t>CH. 812 Transportes</t>
  </si>
  <si>
    <t>30/03/2021</t>
  </si>
  <si>
    <t>CH. 813 Cancelado</t>
  </si>
  <si>
    <t>Depósito No. 37</t>
  </si>
  <si>
    <t>31/03/2021</t>
  </si>
  <si>
    <t>CH. 814 Agua</t>
  </si>
  <si>
    <t>-</t>
  </si>
  <si>
    <t>libro mayor</t>
  </si>
  <si>
    <t>COMERCIAL. SA de CV</t>
  </si>
  <si>
    <t>Fecha MARZO 2021</t>
  </si>
  <si>
    <t>BANCO DEL NORTE SA</t>
  </si>
  <si>
    <t>FECHA: MARZO DE 2021</t>
  </si>
  <si>
    <t>FECHA</t>
  </si>
  <si>
    <t>CONCEPTO</t>
  </si>
  <si>
    <t>CARGO</t>
  </si>
  <si>
    <t>ABONOS</t>
  </si>
  <si>
    <t>CONCILIACION BANCARIA</t>
  </si>
  <si>
    <t>INICIALES</t>
  </si>
  <si>
    <t>PERIODO MARZO DEL 2021</t>
  </si>
  <si>
    <t>NUMERO DE CUENTA</t>
  </si>
  <si>
    <t>BANCO:       BANCO DEL NORTE</t>
  </si>
  <si>
    <t xml:space="preserve">SALDO SEGÚN BANCOS </t>
  </si>
  <si>
    <t xml:space="preserve">MAS </t>
  </si>
  <si>
    <t>CARGOS DEL BANCO NO CORRESPONDIDOS POR LA EMPRESA</t>
  </si>
  <si>
    <t>IMPORTE</t>
  </si>
  <si>
    <t>CARGOS DE LA EMPRESA NO CORRESPONDIDOS POR EL BANCO</t>
  </si>
  <si>
    <t>MENOS</t>
  </si>
  <si>
    <t>ABONOS DEL BANCO NO CORRESPONDIDOS POR LA EMPRESA</t>
  </si>
  <si>
    <t>ABONOS DE LA EMPRESA NO CORRESPONDIDOS POR EL BANCO</t>
  </si>
  <si>
    <t>Recordatorio de lo visto en la asignatura de sistemas contables</t>
  </si>
  <si>
    <t>Tipo de cuenta</t>
  </si>
  <si>
    <t>Aumenta en</t>
  </si>
  <si>
    <t>Disminuye en</t>
  </si>
  <si>
    <t>Activo</t>
  </si>
  <si>
    <t>Debe</t>
  </si>
  <si>
    <t>Haber</t>
  </si>
  <si>
    <t>Pasivo</t>
  </si>
  <si>
    <t>Patrimonio</t>
  </si>
  <si>
    <t>Ingreso</t>
  </si>
  <si>
    <t>Gasto</t>
  </si>
  <si>
    <t>DEPOSITO No 37</t>
  </si>
  <si>
    <t xml:space="preserve">SALDO SEGÚN LIBROS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</si>
</sst>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2" borderId="1" xfId="0" applyFill="1" applyBorder="1"/>
    <xf numFmtId="44" fontId="0" fillId="0" borderId="1" xfId="1" applyFont="1" applyBorder="1"/>
    <xf numFmtId="44" fontId="0" fillId="0" borderId="0" xfId="0" applyNumberFormat="1"/>
    <xf numFmtId="44" fontId="0" fillId="2" borderId="0" xfId="0" applyNumberFormat="1" applyFill="1"/>
    <xf numFmtId="44" fontId="0" fillId="0" borderId="0" xfId="1" applyFont="1"/>
    <xf numFmtId="44" fontId="2" fillId="0" borderId="1" xfId="1" applyFont="1" applyBorder="1"/>
    <xf numFmtId="44" fontId="2" fillId="0" borderId="1" xfId="1" applyFont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44" fontId="0" fillId="2" borderId="1" xfId="1" applyFont="1" applyFill="1" applyBorder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right"/>
    </xf>
    <xf numFmtId="44" fontId="0" fillId="0" borderId="3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4" fontId="2" fillId="0" borderId="1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171450</xdr:rowOff>
    </xdr:from>
    <xdr:to>
      <xdr:col>8</xdr:col>
      <xdr:colOff>705363</xdr:colOff>
      <xdr:row>14</xdr:row>
      <xdr:rowOff>95638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84D52-8AAA-43BD-8C66-C85D55DD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0" y="171450"/>
          <a:ext cx="3677163" cy="2781688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0</xdr:row>
      <xdr:rowOff>123825</xdr:rowOff>
    </xdr:from>
    <xdr:to>
      <xdr:col>14</xdr:col>
      <xdr:colOff>276757</xdr:colOff>
      <xdr:row>14</xdr:row>
      <xdr:rowOff>171855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03ECD7-60E3-4D1E-8F9B-1C6946A47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3875" y="123825"/>
          <a:ext cx="3810532" cy="29055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F33D8-D852-4704-8635-21DFE88F7247}" name="Tabla1" displayName="Tabla1" ref="A3:C8" totalsRowShown="0" headerRowDxfId="0" dataDxfId="1">
  <autoFilter ref="A3:C8" xr:uid="{B77F33D8-D852-4704-8635-21DFE88F7247}"/>
  <tableColumns count="3">
    <tableColumn id="1" xr3:uid="{E9B3B3B2-40E5-4EB2-A4B8-7A3FD4B41548}" name="Tipo de cuenta" dataDxfId="4"/>
    <tableColumn id="2" xr3:uid="{A20E59D1-DDB4-4618-888A-D7199D9DD309}" name="Aumenta en" dataDxfId="3"/>
    <tableColumn id="3" xr3:uid="{4B06396F-5D19-4730-B0FC-EC560A0965C2}" name="Disminuye e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DF0A-B1F8-4DC2-8E8F-7D38E2E32146}">
  <dimension ref="A1:C8"/>
  <sheetViews>
    <sheetView workbookViewId="0">
      <selection activeCell="C26" sqref="C26"/>
    </sheetView>
  </sheetViews>
  <sheetFormatPr baseColWidth="10" defaultRowHeight="15" x14ac:dyDescent="0.25"/>
  <cols>
    <col min="1" max="1" width="16.140625" customWidth="1"/>
    <col min="2" max="2" width="14.42578125" customWidth="1"/>
    <col min="3" max="3" width="18.85546875" customWidth="1"/>
  </cols>
  <sheetData>
    <row r="1" spans="1:3" x14ac:dyDescent="0.25">
      <c r="A1" t="s">
        <v>48</v>
      </c>
    </row>
    <row r="3" spans="1:3" ht="30" x14ac:dyDescent="0.25">
      <c r="A3" s="22" t="s">
        <v>49</v>
      </c>
      <c r="B3" s="22" t="s">
        <v>50</v>
      </c>
      <c r="C3" s="22" t="s">
        <v>51</v>
      </c>
    </row>
    <row r="4" spans="1:3" x14ac:dyDescent="0.25">
      <c r="A4" s="23" t="s">
        <v>52</v>
      </c>
      <c r="B4" s="23" t="s">
        <v>53</v>
      </c>
      <c r="C4" s="23" t="s">
        <v>54</v>
      </c>
    </row>
    <row r="5" spans="1:3" x14ac:dyDescent="0.25">
      <c r="A5" s="23" t="s">
        <v>55</v>
      </c>
      <c r="B5" s="23" t="s">
        <v>54</v>
      </c>
      <c r="C5" s="23" t="s">
        <v>53</v>
      </c>
    </row>
    <row r="6" spans="1:3" x14ac:dyDescent="0.25">
      <c r="A6" s="23" t="s">
        <v>56</v>
      </c>
      <c r="B6" s="23" t="s">
        <v>54</v>
      </c>
      <c r="C6" s="23" t="s">
        <v>53</v>
      </c>
    </row>
    <row r="7" spans="1:3" x14ac:dyDescent="0.25">
      <c r="A7" s="23" t="s">
        <v>57</v>
      </c>
      <c r="B7" s="23" t="s">
        <v>54</v>
      </c>
      <c r="C7" s="23" t="s">
        <v>53</v>
      </c>
    </row>
    <row r="8" spans="1:3" x14ac:dyDescent="0.25">
      <c r="A8" s="23" t="s">
        <v>58</v>
      </c>
      <c r="B8" s="23" t="s">
        <v>53</v>
      </c>
      <c r="C8" s="23" t="s">
        <v>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22.42578125" customWidth="1"/>
    <col min="2" max="2" width="15.28515625" customWidth="1"/>
    <col min="3" max="3" width="15.140625" customWidth="1"/>
    <col min="4" max="4" width="17.14062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1" t="s">
        <v>5</v>
      </c>
      <c r="C2" s="6"/>
      <c r="D2" s="6">
        <v>10325</v>
      </c>
    </row>
    <row r="3" spans="1:4" x14ac:dyDescent="0.25">
      <c r="A3" s="1" t="s">
        <v>4</v>
      </c>
      <c r="B3" s="1" t="s">
        <v>6</v>
      </c>
      <c r="C3" s="6">
        <v>530</v>
      </c>
      <c r="D3" s="6"/>
    </row>
    <row r="4" spans="1:4" x14ac:dyDescent="0.25">
      <c r="A4" s="1" t="s">
        <v>7</v>
      </c>
      <c r="B4" s="1" t="s">
        <v>8</v>
      </c>
      <c r="C4" s="6">
        <v>700</v>
      </c>
      <c r="D4" s="6"/>
    </row>
    <row r="5" spans="1:4" x14ac:dyDescent="0.25">
      <c r="A5" s="1" t="s">
        <v>7</v>
      </c>
      <c r="B5" s="1" t="s">
        <v>9</v>
      </c>
      <c r="C5" s="6">
        <v>1530</v>
      </c>
      <c r="D5" s="6"/>
    </row>
    <row r="6" spans="1:4" x14ac:dyDescent="0.25">
      <c r="A6" s="1" t="s">
        <v>10</v>
      </c>
      <c r="B6" s="1" t="s">
        <v>11</v>
      </c>
      <c r="C6" s="6"/>
      <c r="D6" s="6">
        <v>470</v>
      </c>
    </row>
    <row r="7" spans="1:4" x14ac:dyDescent="0.25">
      <c r="A7" s="1" t="s">
        <v>10</v>
      </c>
      <c r="B7" s="1" t="s">
        <v>11</v>
      </c>
      <c r="C7" s="6"/>
      <c r="D7" s="6">
        <v>3600</v>
      </c>
    </row>
    <row r="8" spans="1:4" x14ac:dyDescent="0.25">
      <c r="A8" s="1" t="s">
        <v>10</v>
      </c>
      <c r="B8" s="1" t="s">
        <v>12</v>
      </c>
      <c r="C8" s="6"/>
      <c r="D8" s="6">
        <v>14</v>
      </c>
    </row>
    <row r="9" spans="1:4" x14ac:dyDescent="0.25">
      <c r="C9" s="8">
        <f>SUM(C2:C8)</f>
        <v>2760</v>
      </c>
      <c r="D9" s="8">
        <f>SUM(D2:D8)</f>
        <v>14409</v>
      </c>
    </row>
    <row r="10" spans="1:4" x14ac:dyDescent="0.25">
      <c r="D10" s="7">
        <v>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A12" sqref="A12"/>
    </sheetView>
  </sheetViews>
  <sheetFormatPr baseColWidth="10" defaultColWidth="9.140625" defaultRowHeight="15" x14ac:dyDescent="0.25"/>
  <cols>
    <col min="1" max="2" width="24.140625" customWidth="1"/>
    <col min="3" max="3" width="18.5703125" customWidth="1"/>
    <col min="4" max="4" width="13.85546875" customWidth="1"/>
  </cols>
  <sheetData>
    <row r="1" spans="1:4" ht="26.2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4">
        <v>10325</v>
      </c>
      <c r="D2" s="4"/>
    </row>
    <row r="3" spans="1:4" x14ac:dyDescent="0.25">
      <c r="A3" s="2" t="s">
        <v>4</v>
      </c>
      <c r="B3" s="2" t="s">
        <v>13</v>
      </c>
      <c r="C3" s="4"/>
      <c r="D3" s="4">
        <v>700</v>
      </c>
    </row>
    <row r="4" spans="1:4" x14ac:dyDescent="0.25">
      <c r="A4" s="2" t="s">
        <v>4</v>
      </c>
      <c r="B4" s="2" t="s">
        <v>14</v>
      </c>
      <c r="C4" s="4"/>
      <c r="D4" s="4">
        <v>530</v>
      </c>
    </row>
    <row r="5" spans="1:4" x14ac:dyDescent="0.25">
      <c r="A5" s="2" t="s">
        <v>15</v>
      </c>
      <c r="B5" s="2" t="s">
        <v>16</v>
      </c>
      <c r="C5" s="4"/>
      <c r="D5" s="4">
        <v>1530</v>
      </c>
    </row>
    <row r="6" spans="1:4" x14ac:dyDescent="0.25">
      <c r="A6" s="2" t="s">
        <v>17</v>
      </c>
      <c r="B6" s="2" t="s">
        <v>11</v>
      </c>
      <c r="C6" s="4">
        <v>470</v>
      </c>
      <c r="D6" s="4"/>
    </row>
    <row r="7" spans="1:4" x14ac:dyDescent="0.25">
      <c r="A7" s="2" t="s">
        <v>17</v>
      </c>
      <c r="B7" s="2" t="s">
        <v>11</v>
      </c>
      <c r="C7" s="4">
        <v>3600</v>
      </c>
      <c r="D7" s="4"/>
    </row>
    <row r="8" spans="1:4" x14ac:dyDescent="0.25">
      <c r="A8" s="2" t="s">
        <v>10</v>
      </c>
      <c r="B8" s="2" t="s">
        <v>18</v>
      </c>
      <c r="C8" s="4"/>
      <c r="D8" s="4">
        <v>90</v>
      </c>
    </row>
    <row r="9" spans="1:4" x14ac:dyDescent="0.25">
      <c r="A9" s="2" t="s">
        <v>10</v>
      </c>
      <c r="B9" s="2" t="s">
        <v>19</v>
      </c>
      <c r="C9" s="4"/>
      <c r="D9" s="4">
        <v>260</v>
      </c>
    </row>
    <row r="10" spans="1:4" x14ac:dyDescent="0.25">
      <c r="A10" s="2" t="s">
        <v>20</v>
      </c>
      <c r="B10" s="2" t="s">
        <v>21</v>
      </c>
      <c r="C10" s="4" t="s">
        <v>25</v>
      </c>
      <c r="D10" s="4" t="s">
        <v>25</v>
      </c>
    </row>
    <row r="11" spans="1:4" x14ac:dyDescent="0.25">
      <c r="A11" s="2" t="s">
        <v>20</v>
      </c>
      <c r="B11" s="2" t="s">
        <v>22</v>
      </c>
      <c r="C11" s="4">
        <v>4000</v>
      </c>
      <c r="D11" s="4"/>
    </row>
    <row r="12" spans="1:4" x14ac:dyDescent="0.25">
      <c r="A12" s="2" t="s">
        <v>23</v>
      </c>
      <c r="B12" s="2" t="s">
        <v>24</v>
      </c>
      <c r="C12" s="4"/>
      <c r="D12" s="4">
        <v>172.23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C43E-2726-401E-BC84-7E302218B3D7}">
  <dimension ref="B1:J19"/>
  <sheetViews>
    <sheetView workbookViewId="0">
      <selection activeCell="H12" sqref="H12"/>
    </sheetView>
  </sheetViews>
  <sheetFormatPr baseColWidth="10" defaultRowHeight="15" x14ac:dyDescent="0.25"/>
  <cols>
    <col min="1" max="1" width="16.7109375" customWidth="1"/>
    <col min="2" max="2" width="22.7109375" customWidth="1"/>
    <col min="3" max="3" width="16.7109375" customWidth="1"/>
    <col min="4" max="4" width="24.42578125" customWidth="1"/>
    <col min="5" max="7" width="16.7109375" customWidth="1"/>
    <col min="8" max="8" width="27.5703125" customWidth="1"/>
    <col min="9" max="9" width="16.7109375" customWidth="1"/>
    <col min="10" max="10" width="24.140625" customWidth="1"/>
    <col min="11" max="16" width="16.7109375" customWidth="1"/>
    <col min="17" max="19" width="13.7109375" customWidth="1"/>
  </cols>
  <sheetData>
    <row r="1" spans="2:10" x14ac:dyDescent="0.25">
      <c r="B1" s="24" t="s">
        <v>29</v>
      </c>
      <c r="G1" s="24" t="s">
        <v>26</v>
      </c>
      <c r="H1" s="24" t="s">
        <v>27</v>
      </c>
    </row>
    <row r="2" spans="2:10" x14ac:dyDescent="0.25">
      <c r="B2" s="24" t="s">
        <v>30</v>
      </c>
      <c r="G2" s="24" t="s">
        <v>28</v>
      </c>
      <c r="H2" s="24"/>
    </row>
    <row r="3" spans="2:10" x14ac:dyDescent="0.25">
      <c r="D3" s="25" t="s">
        <v>53</v>
      </c>
      <c r="E3" s="25" t="s">
        <v>54</v>
      </c>
      <c r="I3" s="25" t="s">
        <v>53</v>
      </c>
      <c r="J3" s="25" t="s">
        <v>54</v>
      </c>
    </row>
    <row r="4" spans="2:10" x14ac:dyDescent="0.25">
      <c r="B4" s="5" t="s">
        <v>31</v>
      </c>
      <c r="C4" s="5" t="s">
        <v>32</v>
      </c>
      <c r="D4" s="5" t="s">
        <v>33</v>
      </c>
      <c r="E4" s="5" t="s">
        <v>34</v>
      </c>
      <c r="G4" s="3" t="s">
        <v>0</v>
      </c>
      <c r="H4" s="3" t="s">
        <v>1</v>
      </c>
      <c r="I4" s="3" t="s">
        <v>2</v>
      </c>
      <c r="J4" s="3" t="s">
        <v>3</v>
      </c>
    </row>
    <row r="5" spans="2:10" x14ac:dyDescent="0.25">
      <c r="B5" s="1" t="s">
        <v>4</v>
      </c>
      <c r="C5" s="1" t="s">
        <v>5</v>
      </c>
      <c r="D5" s="6"/>
      <c r="E5" s="10">
        <v>10325</v>
      </c>
      <c r="G5" s="2" t="s">
        <v>4</v>
      </c>
      <c r="H5" s="2" t="s">
        <v>5</v>
      </c>
      <c r="I5" s="11">
        <v>10325</v>
      </c>
      <c r="J5" s="4"/>
    </row>
    <row r="6" spans="2:10" x14ac:dyDescent="0.25">
      <c r="B6" s="1" t="s">
        <v>4</v>
      </c>
      <c r="C6" s="1" t="s">
        <v>6</v>
      </c>
      <c r="D6" s="10">
        <v>530</v>
      </c>
      <c r="E6" s="6"/>
      <c r="G6" s="2" t="s">
        <v>4</v>
      </c>
      <c r="H6" s="2" t="s">
        <v>13</v>
      </c>
      <c r="I6" s="4"/>
      <c r="J6" s="11">
        <v>700</v>
      </c>
    </row>
    <row r="7" spans="2:10" x14ac:dyDescent="0.25">
      <c r="B7" s="1" t="s">
        <v>7</v>
      </c>
      <c r="C7" s="1" t="s">
        <v>8</v>
      </c>
      <c r="D7" s="10">
        <v>700</v>
      </c>
      <c r="E7" s="6"/>
      <c r="G7" s="2" t="s">
        <v>4</v>
      </c>
      <c r="H7" s="2" t="s">
        <v>14</v>
      </c>
      <c r="I7" s="4"/>
      <c r="J7" s="11">
        <v>530</v>
      </c>
    </row>
    <row r="8" spans="2:10" x14ac:dyDescent="0.25">
      <c r="B8" s="1" t="s">
        <v>7</v>
      </c>
      <c r="C8" s="1" t="s">
        <v>9</v>
      </c>
      <c r="D8" s="10">
        <v>1530</v>
      </c>
      <c r="E8" s="6"/>
      <c r="G8" s="2" t="s">
        <v>15</v>
      </c>
      <c r="H8" s="2" t="s">
        <v>16</v>
      </c>
      <c r="I8" s="4"/>
      <c r="J8" s="11">
        <v>1530</v>
      </c>
    </row>
    <row r="9" spans="2:10" x14ac:dyDescent="0.25">
      <c r="B9" s="1" t="s">
        <v>10</v>
      </c>
      <c r="C9" s="1" t="s">
        <v>11</v>
      </c>
      <c r="D9" s="6"/>
      <c r="E9" s="10">
        <v>470</v>
      </c>
      <c r="G9" s="2" t="s">
        <v>17</v>
      </c>
      <c r="H9" s="2" t="s">
        <v>11</v>
      </c>
      <c r="I9" s="11">
        <v>470</v>
      </c>
      <c r="J9" s="4"/>
    </row>
    <row r="10" spans="2:10" x14ac:dyDescent="0.25">
      <c r="B10" s="1" t="s">
        <v>10</v>
      </c>
      <c r="C10" s="1" t="s">
        <v>11</v>
      </c>
      <c r="D10" s="6"/>
      <c r="E10" s="10">
        <v>3600</v>
      </c>
      <c r="G10" s="2" t="s">
        <v>17</v>
      </c>
      <c r="H10" s="2" t="s">
        <v>11</v>
      </c>
      <c r="I10" s="11">
        <v>3600</v>
      </c>
      <c r="J10" s="4"/>
    </row>
    <row r="11" spans="2:10" x14ac:dyDescent="0.25">
      <c r="B11" s="1" t="s">
        <v>10</v>
      </c>
      <c r="C11" s="1" t="s">
        <v>12</v>
      </c>
      <c r="D11" s="6"/>
      <c r="E11" s="13">
        <v>14</v>
      </c>
      <c r="G11" s="2" t="s">
        <v>10</v>
      </c>
      <c r="H11" s="2" t="s">
        <v>18</v>
      </c>
      <c r="I11" s="4"/>
      <c r="J11" s="12">
        <v>90</v>
      </c>
    </row>
    <row r="12" spans="2:10" x14ac:dyDescent="0.25">
      <c r="D12" s="8">
        <f>SUM(D5:D11)</f>
        <v>2760</v>
      </c>
      <c r="E12" s="8">
        <f>SUM(E5:E11)</f>
        <v>14409</v>
      </c>
      <c r="G12" s="2" t="s">
        <v>10</v>
      </c>
      <c r="H12" s="2" t="s">
        <v>19</v>
      </c>
      <c r="I12" s="4"/>
      <c r="J12" s="12">
        <v>260</v>
      </c>
    </row>
    <row r="13" spans="2:10" x14ac:dyDescent="0.25">
      <c r="E13" s="7">
        <v>8727.2999999999993</v>
      </c>
      <c r="G13" s="2" t="s">
        <v>20</v>
      </c>
      <c r="H13" s="2" t="s">
        <v>21</v>
      </c>
      <c r="I13" s="4" t="s">
        <v>25</v>
      </c>
      <c r="J13" s="4" t="s">
        <v>25</v>
      </c>
    </row>
    <row r="14" spans="2:10" x14ac:dyDescent="0.25">
      <c r="G14" s="2" t="s">
        <v>20</v>
      </c>
      <c r="H14" s="2" t="s">
        <v>22</v>
      </c>
      <c r="I14" s="12">
        <v>4000</v>
      </c>
      <c r="J14" s="4"/>
    </row>
    <row r="15" spans="2:10" x14ac:dyDescent="0.25">
      <c r="G15" s="2" t="s">
        <v>23</v>
      </c>
      <c r="H15" s="2" t="s">
        <v>24</v>
      </c>
      <c r="I15" s="4"/>
      <c r="J15" s="12">
        <v>172.23</v>
      </c>
    </row>
    <row r="16" spans="2:10" x14ac:dyDescent="0.25">
      <c r="I16" s="8">
        <f>SUM(I5:I15)</f>
        <v>18395</v>
      </c>
      <c r="J16" s="8">
        <f>SUM(J5:J15)</f>
        <v>3282.23</v>
      </c>
    </row>
    <row r="17" spans="9:9" x14ac:dyDescent="0.25">
      <c r="I17" s="9">
        <v>12191.07</v>
      </c>
    </row>
    <row r="19" spans="9:9" x14ac:dyDescent="0.25">
      <c r="I1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284B-3E23-4C9F-BA65-1DB17FB7743D}">
  <dimension ref="A1:J36"/>
  <sheetViews>
    <sheetView tabSelected="1" workbookViewId="0">
      <selection activeCell="L9" sqref="L9"/>
    </sheetView>
  </sheetViews>
  <sheetFormatPr baseColWidth="10" defaultRowHeight="15" x14ac:dyDescent="0.25"/>
  <cols>
    <col min="3" max="3" width="13.5703125" customWidth="1"/>
    <col min="5" max="5" width="12.7109375" customWidth="1"/>
    <col min="6" max="6" width="11.42578125" customWidth="1"/>
  </cols>
  <sheetData>
    <row r="1" spans="1:10" ht="26.25" x14ac:dyDescent="0.4">
      <c r="A1" s="15" t="s">
        <v>35</v>
      </c>
      <c r="B1" s="15"/>
      <c r="C1" s="15"/>
      <c r="D1" s="15"/>
      <c r="E1" s="15"/>
      <c r="F1" s="15"/>
      <c r="G1" s="15"/>
    </row>
    <row r="2" spans="1:10" x14ac:dyDescent="0.25">
      <c r="A2" s="16" t="s">
        <v>39</v>
      </c>
      <c r="B2" s="16"/>
      <c r="C2" s="16"/>
      <c r="D2" s="16"/>
      <c r="E2" s="16"/>
      <c r="F2" s="16"/>
      <c r="G2" s="14" t="s">
        <v>36</v>
      </c>
    </row>
    <row r="3" spans="1:10" x14ac:dyDescent="0.25">
      <c r="A3" s="16" t="s">
        <v>37</v>
      </c>
      <c r="B3" s="16"/>
      <c r="C3" s="16"/>
      <c r="D3" s="17" t="s">
        <v>38</v>
      </c>
      <c r="E3" s="18"/>
      <c r="F3" s="19"/>
      <c r="G3" s="1" t="s">
        <v>31</v>
      </c>
    </row>
    <row r="6" spans="1:10" x14ac:dyDescent="0.25">
      <c r="G6" s="16" t="s">
        <v>40</v>
      </c>
      <c r="H6" s="16"/>
      <c r="I6" s="20">
        <v>8727.2999999999993</v>
      </c>
      <c r="J6" s="20"/>
    </row>
    <row r="9" spans="1:10" x14ac:dyDescent="0.25">
      <c r="B9" s="1" t="s">
        <v>41</v>
      </c>
      <c r="C9" s="17" t="s">
        <v>42</v>
      </c>
      <c r="D9" s="18"/>
      <c r="E9" s="18"/>
      <c r="F9" s="18"/>
      <c r="G9" s="19"/>
      <c r="I9" s="20"/>
      <c r="J9" s="20"/>
    </row>
    <row r="10" spans="1:10" x14ac:dyDescent="0.25">
      <c r="B10" s="16" t="s">
        <v>31</v>
      </c>
      <c r="C10" s="16"/>
      <c r="D10" s="16" t="s">
        <v>32</v>
      </c>
      <c r="E10" s="16"/>
      <c r="F10" s="16" t="s">
        <v>43</v>
      </c>
      <c r="G10" s="16"/>
    </row>
    <row r="11" spans="1:10" x14ac:dyDescent="0.25">
      <c r="B11" s="16"/>
      <c r="C11" s="16"/>
      <c r="D11" s="16"/>
      <c r="E11" s="16"/>
      <c r="F11" s="16"/>
      <c r="G11" s="16"/>
    </row>
    <row r="12" spans="1:10" x14ac:dyDescent="0.25">
      <c r="B12" s="16"/>
      <c r="C12" s="16"/>
      <c r="D12" s="16"/>
      <c r="E12" s="16"/>
      <c r="F12" s="16"/>
      <c r="G12" s="16"/>
    </row>
    <row r="15" spans="1:10" x14ac:dyDescent="0.25">
      <c r="B15" s="1" t="s">
        <v>41</v>
      </c>
      <c r="C15" s="17" t="s">
        <v>44</v>
      </c>
      <c r="D15" s="18"/>
      <c r="E15" s="18"/>
      <c r="F15" s="18"/>
      <c r="G15" s="19"/>
      <c r="I15" s="20">
        <v>4000</v>
      </c>
      <c r="J15" s="20"/>
    </row>
    <row r="16" spans="1:10" x14ac:dyDescent="0.25">
      <c r="B16" s="16" t="s">
        <v>31</v>
      </c>
      <c r="C16" s="16"/>
      <c r="D16" s="16" t="s">
        <v>32</v>
      </c>
      <c r="E16" s="16"/>
      <c r="F16" s="16" t="s">
        <v>43</v>
      </c>
      <c r="G16" s="16"/>
    </row>
    <row r="17" spans="2:10" x14ac:dyDescent="0.25">
      <c r="B17" s="21" t="s">
        <v>20</v>
      </c>
      <c r="C17" s="16"/>
      <c r="D17" s="16" t="s">
        <v>59</v>
      </c>
      <c r="E17" s="16"/>
      <c r="F17" s="20">
        <v>4000</v>
      </c>
      <c r="G17" s="20"/>
    </row>
    <row r="18" spans="2:10" x14ac:dyDescent="0.25">
      <c r="B18" s="16"/>
      <c r="C18" s="16"/>
      <c r="D18" s="16"/>
      <c r="E18" s="16"/>
      <c r="F18" s="16"/>
      <c r="G18" s="16"/>
    </row>
    <row r="21" spans="2:10" x14ac:dyDescent="0.25">
      <c r="B21" s="1" t="s">
        <v>45</v>
      </c>
      <c r="C21" s="17" t="s">
        <v>46</v>
      </c>
      <c r="D21" s="18"/>
      <c r="E21" s="18"/>
      <c r="F21" s="18"/>
      <c r="G21" s="19"/>
      <c r="I21" s="20">
        <v>14</v>
      </c>
      <c r="J21" s="20"/>
    </row>
    <row r="22" spans="2:10" x14ac:dyDescent="0.25">
      <c r="B22" s="16" t="s">
        <v>31</v>
      </c>
      <c r="C22" s="16"/>
      <c r="D22" s="16" t="s">
        <v>32</v>
      </c>
      <c r="E22" s="16"/>
      <c r="F22" s="16" t="s">
        <v>43</v>
      </c>
      <c r="G22" s="16"/>
    </row>
    <row r="23" spans="2:10" x14ac:dyDescent="0.25">
      <c r="B23" s="17" t="s">
        <v>10</v>
      </c>
      <c r="C23" s="19"/>
      <c r="D23" s="17" t="s">
        <v>12</v>
      </c>
      <c r="E23" s="19"/>
      <c r="F23" s="20">
        <v>14</v>
      </c>
      <c r="G23" s="20"/>
    </row>
    <row r="24" spans="2:10" x14ac:dyDescent="0.25">
      <c r="B24" s="16"/>
      <c r="C24" s="16"/>
      <c r="D24" s="16"/>
      <c r="E24" s="16"/>
      <c r="F24" s="16"/>
      <c r="G24" s="16"/>
    </row>
    <row r="27" spans="2:10" x14ac:dyDescent="0.25">
      <c r="B27" s="1" t="s">
        <v>45</v>
      </c>
      <c r="C27" s="17" t="s">
        <v>47</v>
      </c>
      <c r="D27" s="18"/>
      <c r="E27" s="18"/>
      <c r="F27" s="18"/>
      <c r="G27" s="19"/>
      <c r="I27" s="20">
        <f>SUM(F29:G31)</f>
        <v>522.23</v>
      </c>
      <c r="J27" s="20"/>
    </row>
    <row r="28" spans="2:10" x14ac:dyDescent="0.25">
      <c r="B28" s="16" t="s">
        <v>31</v>
      </c>
      <c r="C28" s="16"/>
      <c r="D28" s="16" t="s">
        <v>32</v>
      </c>
      <c r="E28" s="16"/>
      <c r="F28" s="16" t="s">
        <v>43</v>
      </c>
      <c r="G28" s="16"/>
    </row>
    <row r="29" spans="2:10" x14ac:dyDescent="0.25">
      <c r="B29" s="17" t="s">
        <v>10</v>
      </c>
      <c r="C29" s="19"/>
      <c r="D29" s="16" t="s">
        <v>18</v>
      </c>
      <c r="E29" s="16"/>
      <c r="F29" s="26">
        <v>90</v>
      </c>
      <c r="G29" s="27"/>
    </row>
    <row r="30" spans="2:10" x14ac:dyDescent="0.25">
      <c r="B30" s="17" t="s">
        <v>10</v>
      </c>
      <c r="C30" s="19"/>
      <c r="D30" s="16" t="s">
        <v>19</v>
      </c>
      <c r="E30" s="16"/>
      <c r="F30" s="26">
        <v>260</v>
      </c>
      <c r="G30" s="27"/>
    </row>
    <row r="31" spans="2:10" x14ac:dyDescent="0.25">
      <c r="B31" s="16" t="s">
        <v>23</v>
      </c>
      <c r="C31" s="16"/>
      <c r="D31" s="16" t="s">
        <v>24</v>
      </c>
      <c r="E31" s="16"/>
      <c r="F31" s="26">
        <v>172.23</v>
      </c>
      <c r="G31" s="27"/>
    </row>
    <row r="33" spans="3:10" x14ac:dyDescent="0.25">
      <c r="G33" s="16" t="s">
        <v>60</v>
      </c>
      <c r="H33" s="16"/>
      <c r="I33" s="30">
        <f>I6+I9+I15-I21-I27</f>
        <v>12191.07</v>
      </c>
      <c r="J33" s="30"/>
    </row>
    <row r="34" spans="3:10" x14ac:dyDescent="0.25">
      <c r="C34" s="28"/>
    </row>
    <row r="35" spans="3:10" x14ac:dyDescent="0.25">
      <c r="C35" s="29"/>
    </row>
    <row r="36" spans="3:10" x14ac:dyDescent="0.25">
      <c r="C36" s="29"/>
    </row>
  </sheetData>
  <mergeCells count="55">
    <mergeCell ref="G33:H33"/>
    <mergeCell ref="I33:J33"/>
    <mergeCell ref="B30:C30"/>
    <mergeCell ref="D30:E30"/>
    <mergeCell ref="F30:G30"/>
    <mergeCell ref="I9:J9"/>
    <mergeCell ref="B31:C31"/>
    <mergeCell ref="D31:E31"/>
    <mergeCell ref="F31:G31"/>
    <mergeCell ref="C27:G27"/>
    <mergeCell ref="I27:J27"/>
    <mergeCell ref="B28:C28"/>
    <mergeCell ref="D28:E28"/>
    <mergeCell ref="F28:G28"/>
    <mergeCell ref="B29:C29"/>
    <mergeCell ref="D29:E29"/>
    <mergeCell ref="F29:G29"/>
    <mergeCell ref="B23:C23"/>
    <mergeCell ref="D23:E23"/>
    <mergeCell ref="F23:G23"/>
    <mergeCell ref="B24:C24"/>
    <mergeCell ref="D24:E24"/>
    <mergeCell ref="F24:G24"/>
    <mergeCell ref="B18:C18"/>
    <mergeCell ref="D18:E18"/>
    <mergeCell ref="F18:G18"/>
    <mergeCell ref="I15:J15"/>
    <mergeCell ref="C21:G21"/>
    <mergeCell ref="B22:C22"/>
    <mergeCell ref="D22:E22"/>
    <mergeCell ref="F22:G22"/>
    <mergeCell ref="I21:J21"/>
    <mergeCell ref="C15:G15"/>
    <mergeCell ref="B16:C16"/>
    <mergeCell ref="D16:E16"/>
    <mergeCell ref="F16:G16"/>
    <mergeCell ref="B17:C17"/>
    <mergeCell ref="D17:E17"/>
    <mergeCell ref="F17:G17"/>
    <mergeCell ref="B11:C11"/>
    <mergeCell ref="D11:E11"/>
    <mergeCell ref="F11:G11"/>
    <mergeCell ref="B12:C12"/>
    <mergeCell ref="D12:E12"/>
    <mergeCell ref="F12:G12"/>
    <mergeCell ref="A1:G1"/>
    <mergeCell ref="D3:F3"/>
    <mergeCell ref="A3:C3"/>
    <mergeCell ref="A2:F2"/>
    <mergeCell ref="B10:C10"/>
    <mergeCell ref="D10:E10"/>
    <mergeCell ref="F10:G10"/>
    <mergeCell ref="C9:G9"/>
    <mergeCell ref="I6:J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Recordatorio Sistemas contables</vt:lpstr>
      <vt:lpstr>Banco del Norte SA</vt:lpstr>
      <vt:lpstr>La Comercial SA de CV</vt:lpstr>
      <vt:lpstr>BD Aux</vt:lpstr>
      <vt:lpstr>FORMATO AUX de conciliación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knaus</cp:lastModifiedBy>
  <dcterms:created xsi:type="dcterms:W3CDTF">2025-12-30T20:11:06Z</dcterms:created>
  <dcterms:modified xsi:type="dcterms:W3CDTF">2025-12-30T20:56:48Z</dcterms:modified>
</cp:coreProperties>
</file>