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A951902-1B19-4785-A352-37865C4E8A5C}" xr6:coauthVersionLast="47" xr6:coauthVersionMax="47" xr10:uidLastSave="{00000000-0000-0000-0000-000000000000}"/>
  <bookViews>
    <workbookView xWindow="-120" yWindow="-120" windowWidth="24240" windowHeight="13020" firstSheet="1" activeTab="5" xr2:uid="{8BF327D8-D2A2-4EC6-AC93-E293EBDEE96A}"/>
  </bookViews>
  <sheets>
    <sheet name="1.Conc mes anterior Marzo" sheetId="1" r:id="rId1"/>
    <sheet name="2.Auxiliar contable de Abril" sheetId="2" r:id="rId2"/>
    <sheet name="TABLA aux" sheetId="13" r:id="rId3"/>
    <sheet name="TABLA dinamica aux" sheetId="14" r:id="rId4"/>
    <sheet name="3.Estado de Cuenta " sheetId="3" r:id="rId5"/>
    <sheet name="Conciliacion Bancaria Abril" sheetId="7" r:id="rId6"/>
  </sheets>
  <definedNames>
    <definedName name="_xlnm._FilterDatabase" localSheetId="1" hidden="1">'2.Auxiliar contable de Abril'!$A$5:$I$48</definedName>
    <definedName name="_xlnm._FilterDatabase" localSheetId="4" hidden="1">'3.Estado de Cuenta '!$B$3:$E$46</definedName>
  </definedNames>
  <calcPr calcId="19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7" l="1"/>
  <c r="F15" i="7" s="1"/>
  <c r="F5" i="3"/>
  <c r="F6" i="3" s="1"/>
  <c r="F7" i="3" s="1"/>
  <c r="F8" i="3" s="1"/>
  <c r="F9" i="3" s="1"/>
  <c r="F10" i="3" s="1"/>
  <c r="F11" i="3" l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19" i="7"/>
  <c r="F21" i="7" s="1"/>
  <c r="B3" i="2"/>
  <c r="B4" i="2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F9" i="1" l="1"/>
  <c r="F15" i="1" s="1"/>
  <c r="F17" i="1" l="1"/>
  <c r="F19" i="1" s="1"/>
  <c r="F21" i="1" s="1"/>
</calcChain>
</file>

<file path=xl/sharedStrings.xml><?xml version="1.0" encoding="utf-8"?>
<sst xmlns="http://schemas.openxmlformats.org/spreadsheetml/2006/main" count="412" uniqueCount="68">
  <si>
    <t>Perido del 01 al 31  de Marzo del 2019</t>
  </si>
  <si>
    <t xml:space="preserve">Saldo Final del Estado de Cuenta </t>
  </si>
  <si>
    <t>Remesas en Transito</t>
  </si>
  <si>
    <t>Deposito Cliente Y</t>
  </si>
  <si>
    <t>Deposito Cliente X</t>
  </si>
  <si>
    <t>Deposito Cliente Z</t>
  </si>
  <si>
    <t>(+)</t>
  </si>
  <si>
    <t xml:space="preserve">Saldo Final de Contabilidad </t>
  </si>
  <si>
    <t>Saldo de Banco conciliado</t>
  </si>
  <si>
    <t>Saldo de contabilidad conciliado</t>
  </si>
  <si>
    <t>Diferencias</t>
  </si>
  <si>
    <t>(=)</t>
  </si>
  <si>
    <t>Fecha registro</t>
  </si>
  <si>
    <t>Tipo documento</t>
  </si>
  <si>
    <t>Nº documento</t>
  </si>
  <si>
    <t>Nº cuenta</t>
  </si>
  <si>
    <t>Nombre cuenta</t>
  </si>
  <si>
    <t>Descripción</t>
  </si>
  <si>
    <t>Importe debe</t>
  </si>
  <si>
    <t>Importe haber</t>
  </si>
  <si>
    <t>Saldo</t>
  </si>
  <si>
    <t>Banco X</t>
  </si>
  <si>
    <t>Numero de Cuenta</t>
  </si>
  <si>
    <t>Nombre de la Cuenta</t>
  </si>
  <si>
    <t>Remesa</t>
  </si>
  <si>
    <t>Tranferencia</t>
  </si>
  <si>
    <t>Cheque</t>
  </si>
  <si>
    <t>Pago Proveedor  A</t>
  </si>
  <si>
    <t xml:space="preserve">Remesa </t>
  </si>
  <si>
    <t>Pago de Planilla 1° quincena</t>
  </si>
  <si>
    <t>Pago de Planilla 2° quincena</t>
  </si>
  <si>
    <t>Pago de Agua de Abril</t>
  </si>
  <si>
    <t>Pago de Luz de Abril</t>
  </si>
  <si>
    <t>Pago de Internet</t>
  </si>
  <si>
    <t>Pago de Alquiler de Abril</t>
  </si>
  <si>
    <t>Pago de Proveedor A</t>
  </si>
  <si>
    <t>Fecha</t>
  </si>
  <si>
    <t>Transaccion</t>
  </si>
  <si>
    <t>Referencia</t>
  </si>
  <si>
    <t>Monto</t>
  </si>
  <si>
    <t>REMESA DE CUENTA CORRIENTE</t>
  </si>
  <si>
    <t>TRANSFERENCIA</t>
  </si>
  <si>
    <t>CONCILIACION BANCARIA DEL BANCO X</t>
  </si>
  <si>
    <t>NUMERO DE CUENTA BANCARIA : 7005003001</t>
  </si>
  <si>
    <t xml:space="preserve">EMPRESA  A, S.A de C.V </t>
  </si>
  <si>
    <t>CHEQUE PARA PAGO DE PLANILLA</t>
  </si>
  <si>
    <t>CHEQUE PARA PAGO DE PROVEEDOR</t>
  </si>
  <si>
    <t>BANCO X CUENTA CORRIENTE 7005003001</t>
  </si>
  <si>
    <t>BANCO</t>
  </si>
  <si>
    <t>Total general</t>
  </si>
  <si>
    <t>Etiquetas de fila</t>
  </si>
  <si>
    <t>Perido del 01 al 30  de Abril del 2019</t>
  </si>
  <si>
    <t xml:space="preserve">EMPRESA  Z, S.A de C.V </t>
  </si>
  <si>
    <t>Auxiliar Contable de la Empresa Z, S.A de C.V</t>
  </si>
  <si>
    <t>Etiquetas de columna</t>
  </si>
  <si>
    <t xml:space="preserve"> </t>
  </si>
  <si>
    <t>FECHA</t>
  </si>
  <si>
    <t>NUMERO DE DOC</t>
  </si>
  <si>
    <t>TIPO</t>
  </si>
  <si>
    <t>DESCRIPCION</t>
  </si>
  <si>
    <t>MONTO</t>
  </si>
  <si>
    <t>CONTAB.</t>
  </si>
  <si>
    <t>Columna_aux</t>
  </si>
  <si>
    <t>REGLAS: LIBRO MAYOR: DEBE Y HABER(*-1)</t>
  </si>
  <si>
    <t>SE CONSOLIDA EN MONTO</t>
  </si>
  <si>
    <t>REGLAS</t>
  </si>
  <si>
    <t>Suma de MONTO</t>
  </si>
  <si>
    <t>la fecha*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</si>
</sst>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_);[Red]\(&quot;$&quot;#,##0.0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1" applyFont="1"/>
    <xf numFmtId="164" fontId="0" fillId="2" borderId="0" xfId="1" applyFont="1" applyFill="1"/>
    <xf numFmtId="0" fontId="0" fillId="2" borderId="0" xfId="0" applyFill="1"/>
    <xf numFmtId="0" fontId="3" fillId="2" borderId="0" xfId="0" applyFont="1" applyFill="1"/>
    <xf numFmtId="14" fontId="0" fillId="2" borderId="0" xfId="0" applyNumberFormat="1" applyFill="1"/>
    <xf numFmtId="164" fontId="0" fillId="2" borderId="1" xfId="1" applyFont="1" applyFill="1" applyBorder="1"/>
    <xf numFmtId="164" fontId="0" fillId="2" borderId="0" xfId="1" applyFont="1" applyFill="1" applyBorder="1"/>
    <xf numFmtId="164" fontId="0" fillId="2" borderId="2" xfId="1" applyFont="1" applyFill="1" applyBorder="1"/>
    <xf numFmtId="0" fontId="4" fillId="2" borderId="0" xfId="0" applyFont="1" applyFill="1"/>
    <xf numFmtId="0" fontId="0" fillId="0" borderId="0" xfId="0" applyFill="1"/>
    <xf numFmtId="49" fontId="2" fillId="3" borderId="3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164" fontId="2" fillId="3" borderId="4" xfId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49" fontId="6" fillId="2" borderId="0" xfId="0" applyNumberFormat="1" applyFont="1" applyFill="1" applyBorder="1"/>
    <xf numFmtId="164" fontId="6" fillId="2" borderId="0" xfId="1" applyFont="1" applyFill="1" applyBorder="1"/>
    <xf numFmtId="0" fontId="8" fillId="2" borderId="0" xfId="0" applyFont="1" applyFill="1"/>
    <xf numFmtId="0" fontId="10" fillId="0" borderId="0" xfId="0" applyFont="1" applyFill="1" applyAlignment="1">
      <alignment horizontal="center"/>
    </xf>
    <xf numFmtId="165" fontId="10" fillId="0" borderId="0" xfId="1" applyNumberFormat="1" applyFont="1" applyFill="1" applyAlignment="1">
      <alignment horizontal="center"/>
    </xf>
    <xf numFmtId="0" fontId="11" fillId="0" borderId="0" xfId="0" applyFont="1"/>
    <xf numFmtId="14" fontId="11" fillId="0" borderId="0" xfId="0" applyNumberFormat="1" applyFont="1"/>
    <xf numFmtId="164" fontId="11" fillId="0" borderId="0" xfId="1" applyFont="1"/>
    <xf numFmtId="165" fontId="12" fillId="0" borderId="0" xfId="1" applyNumberFormat="1" applyFont="1"/>
    <xf numFmtId="165" fontId="11" fillId="0" borderId="0" xfId="1" applyNumberFormat="1" applyFont="1"/>
    <xf numFmtId="164" fontId="1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3" fillId="0" borderId="0" xfId="0" applyFont="1" applyAlignment="1">
      <alignment horizontal="left"/>
    </xf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2" fillId="3" borderId="0" xfId="1" applyFont="1" applyFill="1" applyAlignment="1">
      <alignment horizontal="center"/>
    </xf>
    <xf numFmtId="14" fontId="0" fillId="2" borderId="5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/>
    <xf numFmtId="14" fontId="0" fillId="2" borderId="5" xfId="0" applyNumberFormat="1" applyFill="1" applyBorder="1" applyAlignment="1">
      <alignment horizontal="center"/>
    </xf>
    <xf numFmtId="164" fontId="0" fillId="0" borderId="5" xfId="1" applyFont="1" applyBorder="1"/>
    <xf numFmtId="14" fontId="11" fillId="0" borderId="5" xfId="0" applyNumberFormat="1" applyFont="1" applyBorder="1" applyAlignment="1">
      <alignment horizontal="center"/>
    </xf>
    <xf numFmtId="14" fontId="11" fillId="4" borderId="5" xfId="0" applyNumberFormat="1" applyFont="1" applyFill="1" applyBorder="1" applyAlignment="1">
      <alignment horizontal="center"/>
    </xf>
    <xf numFmtId="164" fontId="0" fillId="0" borderId="5" xfId="1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14" fontId="0" fillId="2" borderId="0" xfId="0" applyNumberFormat="1" applyFill="1" applyBorder="1"/>
    <xf numFmtId="0" fontId="0" fillId="2" borderId="0" xfId="0" applyFill="1" applyBorder="1"/>
  </cellXfs>
  <cellStyles count="2">
    <cellStyle name="Moneda" xfId="1" builtinId="4"/>
    <cellStyle name="Normal" xfId="0" builtinId="0"/>
  </cellStyles>
  <dxfs count="32"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/m/yyyy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naus" refreshedDate="46021.673652777776" createdVersion="7" refreshedVersion="7" minRefreshableVersion="3" recordCount="87" xr:uid="{FCA6CCE4-F13B-443F-BCE9-1841FBE687E8}">
  <cacheSource type="worksheet">
    <worksheetSource ref="D3:H90" sheet="TABLA aux"/>
  </cacheSource>
  <cacheFields count="6">
    <cacheField name="FECHA" numFmtId="14">
      <sharedItems containsSemiMixedTypes="0" containsNonDate="0" containsDate="1" containsString="0" minDate="2019-03-28T00:00:00" maxDate="2019-05-01T00:00:00" count="11">
        <d v="2019-03-28T00:00:00"/>
        <d v="2019-04-01T00:00:00"/>
        <d v="2019-04-05T00:00:00"/>
        <d v="2019-04-10T00:00:00"/>
        <d v="2019-04-15T00:00:00"/>
        <d v="2019-04-20T00:00:00"/>
        <d v="2019-04-27T00:00:00"/>
        <d v="2019-04-30T00:00:00"/>
        <d v="2019-04-07T00:00:00"/>
        <d v="2019-04-12T00:00:00"/>
        <d v="2019-04-21T00:00:00"/>
      </sharedItems>
      <fieldGroup par="5" base="0">
        <rangePr groupBy="days" startDate="2019-03-28T00:00:00" endDate="2019-05-01T00:00:00"/>
        <groupItems count="368">
          <s v="&lt;28/3/2019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5/2019"/>
        </groupItems>
      </fieldGroup>
    </cacheField>
    <cacheField name="NUMERO DE DOC" numFmtId="0">
      <sharedItems containsSemiMixedTypes="0" containsString="0" containsNumber="1" containsInteger="1" minValue="500" maxValue="20834" count="45">
        <n v="20832"/>
        <n v="20833"/>
        <n v="20834"/>
        <n v="20811"/>
        <n v="20812"/>
        <n v="20813"/>
        <n v="20814"/>
        <n v="20815"/>
        <n v="11711"/>
        <n v="11712"/>
        <n v="11713"/>
        <n v="500"/>
        <n v="501"/>
        <n v="20820"/>
        <n v="20821"/>
        <n v="20822"/>
        <n v="11715"/>
        <n v="11716"/>
        <n v="502"/>
        <n v="503"/>
        <n v="504"/>
        <n v="505"/>
        <n v="506"/>
        <n v="20823"/>
        <n v="20824"/>
        <n v="20825"/>
        <n v="20826"/>
        <n v="20827"/>
        <n v="507"/>
        <n v="508"/>
        <n v="509"/>
        <n v="510"/>
        <n v="511"/>
        <n v="512"/>
        <n v="513"/>
        <n v="514"/>
        <n v="515"/>
        <n v="516"/>
        <n v="20828"/>
        <n v="20829"/>
        <n v="20830"/>
        <n v="20831"/>
        <n v="20710"/>
        <n v="20711"/>
        <n v="20712"/>
      </sharedItems>
    </cacheField>
    <cacheField name="TIPO" numFmtId="0">
      <sharedItems count="2">
        <s v="CONTAB."/>
        <s v="BANCO"/>
      </sharedItems>
    </cacheField>
    <cacheField name="DESCRIPCION" numFmtId="0">
      <sharedItems/>
    </cacheField>
    <cacheField name="MONTO" numFmtId="164">
      <sharedItems containsSemiMixedTypes="0" containsString="0" containsNumber="1" containsInteger="1" minValue="-50000" maxValue="15000"/>
    </cacheField>
    <cacheField name="Meses" numFmtId="0" databaseField="0">
      <fieldGroup base="0">
        <rangePr groupBy="months" startDate="2019-03-28T00:00:00" endDate="2019-05-01T00:00:00"/>
        <groupItems count="14">
          <s v="&lt;28/3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5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  <s v="Deposito Cliente Y"/>
    <n v="2000"/>
  </r>
  <r>
    <x v="0"/>
    <x v="1"/>
    <x v="0"/>
    <s v="Deposito Cliente Y"/>
    <n v="2000"/>
  </r>
  <r>
    <x v="0"/>
    <x v="2"/>
    <x v="0"/>
    <s v="Deposito Cliente Z"/>
    <n v="5000"/>
  </r>
  <r>
    <x v="1"/>
    <x v="3"/>
    <x v="0"/>
    <s v="Deposito Cliente Y"/>
    <n v="1000"/>
  </r>
  <r>
    <x v="1"/>
    <x v="4"/>
    <x v="0"/>
    <s v="Deposito Cliente Y"/>
    <n v="1000"/>
  </r>
  <r>
    <x v="1"/>
    <x v="5"/>
    <x v="0"/>
    <s v="Deposito Cliente Y"/>
    <n v="1000"/>
  </r>
  <r>
    <x v="1"/>
    <x v="6"/>
    <x v="0"/>
    <s v="Deposito Cliente Y"/>
    <n v="1000"/>
  </r>
  <r>
    <x v="1"/>
    <x v="7"/>
    <x v="0"/>
    <s v="Deposito Cliente Y"/>
    <n v="1000"/>
  </r>
  <r>
    <x v="2"/>
    <x v="8"/>
    <x v="0"/>
    <s v="Deposito Cliente Z"/>
    <n v="5000"/>
  </r>
  <r>
    <x v="2"/>
    <x v="9"/>
    <x v="0"/>
    <s v="Deposito Cliente Z"/>
    <n v="1500"/>
  </r>
  <r>
    <x v="2"/>
    <x v="10"/>
    <x v="0"/>
    <s v="Deposito Cliente Z"/>
    <n v="3500"/>
  </r>
  <r>
    <x v="2"/>
    <x v="11"/>
    <x v="0"/>
    <s v="Pago Proveedor  A"/>
    <n v="-5000"/>
  </r>
  <r>
    <x v="2"/>
    <x v="12"/>
    <x v="0"/>
    <s v="Pago Proveedor  A"/>
    <n v="-1000"/>
  </r>
  <r>
    <x v="3"/>
    <x v="13"/>
    <x v="0"/>
    <s v="Deposito Cliente X"/>
    <n v="2000"/>
  </r>
  <r>
    <x v="3"/>
    <x v="14"/>
    <x v="0"/>
    <s v="Deposito Cliente X"/>
    <n v="2000"/>
  </r>
  <r>
    <x v="3"/>
    <x v="15"/>
    <x v="0"/>
    <s v="Deposito Cliente X"/>
    <n v="2000"/>
  </r>
  <r>
    <x v="3"/>
    <x v="16"/>
    <x v="0"/>
    <s v="Deposito Cliente Z"/>
    <n v="5000"/>
  </r>
  <r>
    <x v="3"/>
    <x v="17"/>
    <x v="0"/>
    <s v="Deposito Cliente Z"/>
    <n v="2000"/>
  </r>
  <r>
    <x v="4"/>
    <x v="18"/>
    <x v="0"/>
    <s v="Pago de Planilla 1° quincena"/>
    <n v="-5000"/>
  </r>
  <r>
    <x v="4"/>
    <x v="19"/>
    <x v="0"/>
    <s v="Pago de Planilla 1° quincena"/>
    <n v="-5000"/>
  </r>
  <r>
    <x v="4"/>
    <x v="20"/>
    <x v="0"/>
    <s v="Pago de Planilla 1° quincena"/>
    <n v="-5000"/>
  </r>
  <r>
    <x v="4"/>
    <x v="21"/>
    <x v="0"/>
    <s v="Pago de Planilla 1° quincena"/>
    <n v="-50000"/>
  </r>
  <r>
    <x v="4"/>
    <x v="22"/>
    <x v="0"/>
    <s v="Pago de Planilla 1° quincena"/>
    <n v="-5000"/>
  </r>
  <r>
    <x v="5"/>
    <x v="23"/>
    <x v="0"/>
    <s v="Deposito Cliente Y"/>
    <n v="1000"/>
  </r>
  <r>
    <x v="5"/>
    <x v="24"/>
    <x v="0"/>
    <s v="Deposito Cliente Y"/>
    <n v="1000"/>
  </r>
  <r>
    <x v="5"/>
    <x v="25"/>
    <x v="0"/>
    <s v="Deposito Cliente Y"/>
    <n v="1000"/>
  </r>
  <r>
    <x v="5"/>
    <x v="26"/>
    <x v="0"/>
    <s v="Deposito Cliente Y"/>
    <n v="1000"/>
  </r>
  <r>
    <x v="5"/>
    <x v="27"/>
    <x v="0"/>
    <s v="Deposito Cliente Y"/>
    <n v="1000"/>
  </r>
  <r>
    <x v="6"/>
    <x v="28"/>
    <x v="0"/>
    <s v="Pago de Agua de Abril"/>
    <n v="-100"/>
  </r>
  <r>
    <x v="6"/>
    <x v="29"/>
    <x v="0"/>
    <s v="Pago de Luz de Abril"/>
    <n v="-250"/>
  </r>
  <r>
    <x v="6"/>
    <x v="30"/>
    <x v="0"/>
    <s v="Pago de Internet"/>
    <n v="-150"/>
  </r>
  <r>
    <x v="6"/>
    <x v="31"/>
    <x v="0"/>
    <s v="Pago de Alquiler de Abril"/>
    <n v="-2000"/>
  </r>
  <r>
    <x v="6"/>
    <x v="32"/>
    <x v="0"/>
    <s v="Pago de Proveedor A"/>
    <n v="-5000"/>
  </r>
  <r>
    <x v="7"/>
    <x v="33"/>
    <x v="0"/>
    <s v="Pago de Planilla 2° quincena"/>
    <n v="-5000"/>
  </r>
  <r>
    <x v="7"/>
    <x v="34"/>
    <x v="0"/>
    <s v="Pago de Planilla 2° quincena"/>
    <n v="-50000"/>
  </r>
  <r>
    <x v="7"/>
    <x v="35"/>
    <x v="0"/>
    <s v="Pago de Planilla 2° quincena"/>
    <n v="-5000"/>
  </r>
  <r>
    <x v="7"/>
    <x v="36"/>
    <x v="0"/>
    <s v="Pago de Planilla 2° quincena"/>
    <n v="-5000"/>
  </r>
  <r>
    <x v="7"/>
    <x v="37"/>
    <x v="0"/>
    <s v="Pago de Planilla 2° quincena"/>
    <n v="-5000"/>
  </r>
  <r>
    <x v="7"/>
    <x v="38"/>
    <x v="0"/>
    <s v="Deposito Cliente Z"/>
    <n v="15000"/>
  </r>
  <r>
    <x v="7"/>
    <x v="39"/>
    <x v="0"/>
    <s v="Deposito Cliente Z"/>
    <n v="15000"/>
  </r>
  <r>
    <x v="7"/>
    <x v="40"/>
    <x v="0"/>
    <s v="Deposito Cliente Z"/>
    <n v="10000"/>
  </r>
  <r>
    <x v="7"/>
    <x v="41"/>
    <x v="0"/>
    <s v="Deposito Cliente Y"/>
    <n v="2000"/>
  </r>
  <r>
    <x v="7"/>
    <x v="0"/>
    <x v="0"/>
    <s v="Deposito Cliente Y"/>
    <n v="2000"/>
  </r>
  <r>
    <x v="7"/>
    <x v="1"/>
    <x v="0"/>
    <s v="Deposito Cliente Y"/>
    <n v="2000"/>
  </r>
  <r>
    <x v="7"/>
    <x v="2"/>
    <x v="0"/>
    <s v="Deposito Cliente Z"/>
    <n v="5000"/>
  </r>
  <r>
    <x v="1"/>
    <x v="42"/>
    <x v="1"/>
    <s v="REMESA DE CUENTA CORRIENTE"/>
    <n v="2000"/>
  </r>
  <r>
    <x v="1"/>
    <x v="43"/>
    <x v="1"/>
    <s v="REMESA DE CUENTA CORRIENTE"/>
    <n v="5000"/>
  </r>
  <r>
    <x v="1"/>
    <x v="44"/>
    <x v="1"/>
    <s v="REMESA DE CUENTA CORRIENTE"/>
    <n v="3000"/>
  </r>
  <r>
    <x v="1"/>
    <x v="3"/>
    <x v="1"/>
    <s v="REMESA DE CUENTA CORRIENTE"/>
    <n v="1000"/>
  </r>
  <r>
    <x v="1"/>
    <x v="4"/>
    <x v="1"/>
    <s v="REMESA DE CUENTA CORRIENTE"/>
    <n v="1000"/>
  </r>
  <r>
    <x v="1"/>
    <x v="5"/>
    <x v="1"/>
    <s v="REMESA DE CUENTA CORRIENTE"/>
    <n v="1000"/>
  </r>
  <r>
    <x v="1"/>
    <x v="6"/>
    <x v="1"/>
    <s v="REMESA DE CUENTA CORRIENTE"/>
    <n v="1000"/>
  </r>
  <r>
    <x v="1"/>
    <x v="7"/>
    <x v="1"/>
    <s v="REMESA DE CUENTA CORRIENTE"/>
    <n v="1000"/>
  </r>
  <r>
    <x v="2"/>
    <x v="8"/>
    <x v="1"/>
    <s v="TRANSFERENCIA"/>
    <n v="5000"/>
  </r>
  <r>
    <x v="2"/>
    <x v="9"/>
    <x v="1"/>
    <s v="TRANSFERENCIA"/>
    <n v="1500"/>
  </r>
  <r>
    <x v="8"/>
    <x v="10"/>
    <x v="1"/>
    <s v="TRANSFERENCIA"/>
    <n v="3500"/>
  </r>
  <r>
    <x v="9"/>
    <x v="12"/>
    <x v="1"/>
    <s v="CHEQUE PARA PAGO DE PROVEEDOR"/>
    <n v="-1000"/>
  </r>
  <r>
    <x v="3"/>
    <x v="13"/>
    <x v="1"/>
    <s v="REMESA DE CUENTA CORRIENTE"/>
    <n v="2000"/>
  </r>
  <r>
    <x v="3"/>
    <x v="14"/>
    <x v="1"/>
    <s v="REMESA DE CUENTA CORRIENTE"/>
    <n v="2000"/>
  </r>
  <r>
    <x v="3"/>
    <x v="15"/>
    <x v="1"/>
    <s v="REMESA DE CUENTA CORRIENTE"/>
    <n v="2000"/>
  </r>
  <r>
    <x v="3"/>
    <x v="16"/>
    <x v="1"/>
    <s v="TRANSFERENCIA"/>
    <n v="5000"/>
  </r>
  <r>
    <x v="3"/>
    <x v="17"/>
    <x v="1"/>
    <s v="TRANSFERENCIA"/>
    <n v="2000"/>
  </r>
  <r>
    <x v="9"/>
    <x v="11"/>
    <x v="1"/>
    <s v="CHEQUE PARA PAGO DE PROVEEDOR"/>
    <n v="-5000"/>
  </r>
  <r>
    <x v="4"/>
    <x v="18"/>
    <x v="1"/>
    <s v="CHEQUE PARA PAGO DE PLANILLA"/>
    <n v="-5000"/>
  </r>
  <r>
    <x v="4"/>
    <x v="19"/>
    <x v="1"/>
    <s v="CHEQUE PARA PAGO DE PLANILLA"/>
    <n v="-5000"/>
  </r>
  <r>
    <x v="4"/>
    <x v="20"/>
    <x v="1"/>
    <s v="CHEQUE PARA PAGO DE PLANILLA"/>
    <n v="-5000"/>
  </r>
  <r>
    <x v="4"/>
    <x v="21"/>
    <x v="1"/>
    <s v="CHEQUE PARA PAGO DE PLANILLA"/>
    <n v="-50000"/>
  </r>
  <r>
    <x v="5"/>
    <x v="23"/>
    <x v="1"/>
    <s v="REMESA DE CUENTA CORRIENTE"/>
    <n v="1000"/>
  </r>
  <r>
    <x v="5"/>
    <x v="24"/>
    <x v="1"/>
    <s v="REMESA DE CUENTA CORRIENTE"/>
    <n v="1000"/>
  </r>
  <r>
    <x v="5"/>
    <x v="25"/>
    <x v="1"/>
    <s v="REMESA DE CUENTA CORRIENTE"/>
    <n v="1000"/>
  </r>
  <r>
    <x v="5"/>
    <x v="26"/>
    <x v="1"/>
    <s v="REMESA DE CUENTA CORRIENTE"/>
    <n v="1000"/>
  </r>
  <r>
    <x v="10"/>
    <x v="22"/>
    <x v="1"/>
    <s v="CHEQUE PARA PAGO DE PLANILLA"/>
    <n v="-5000"/>
  </r>
  <r>
    <x v="5"/>
    <x v="27"/>
    <x v="1"/>
    <s v="REMESA DE CUENTA CORRIENTE"/>
    <n v="1000"/>
  </r>
  <r>
    <x v="6"/>
    <x v="28"/>
    <x v="1"/>
    <s v="CHEQUE PARA PAGO DE PROVEEDOR"/>
    <n v="-100"/>
  </r>
  <r>
    <x v="6"/>
    <x v="29"/>
    <x v="1"/>
    <s v="CHEQUE PARA PAGO DE PROVEEDOR"/>
    <n v="-250"/>
  </r>
  <r>
    <x v="6"/>
    <x v="30"/>
    <x v="1"/>
    <s v="CHEQUE PARA PAGO DE PROVEEDOR"/>
    <n v="-150"/>
  </r>
  <r>
    <x v="6"/>
    <x v="31"/>
    <x v="1"/>
    <s v="CHEQUE PARA PAGO DE PROVEEDOR"/>
    <n v="-2000"/>
  </r>
  <r>
    <x v="6"/>
    <x v="32"/>
    <x v="1"/>
    <s v="CHEQUE PARA PAGO DE PROVEEDOR"/>
    <n v="-5000"/>
  </r>
  <r>
    <x v="7"/>
    <x v="33"/>
    <x v="1"/>
    <s v="CHEQUE PARA PAGO DE PLANILLA"/>
    <n v="-5000"/>
  </r>
  <r>
    <x v="7"/>
    <x v="34"/>
    <x v="1"/>
    <s v="CHEQUE PARA PAGO DE PLANILLA"/>
    <n v="-50000"/>
  </r>
  <r>
    <x v="7"/>
    <x v="35"/>
    <x v="1"/>
    <s v="CHEQUE PARA PAGO DE PLANILLA"/>
    <n v="-5000"/>
  </r>
  <r>
    <x v="7"/>
    <x v="36"/>
    <x v="1"/>
    <s v="CHEQUE PARA PAGO DE PLANILLA"/>
    <n v="-5000"/>
  </r>
  <r>
    <x v="7"/>
    <x v="37"/>
    <x v="1"/>
    <s v="CHEQUE PARA PAGO DE PLANILLA"/>
    <n v="-5000"/>
  </r>
  <r>
    <x v="7"/>
    <x v="38"/>
    <x v="1"/>
    <s v="REMESA DE CUENTA CORRIENTE"/>
    <n v="15000"/>
  </r>
  <r>
    <x v="7"/>
    <x v="39"/>
    <x v="1"/>
    <s v="REMESA DE CUENTA CORRIENTE"/>
    <n v="15000"/>
  </r>
  <r>
    <x v="7"/>
    <x v="40"/>
    <x v="1"/>
    <s v="REMESA DE CUENTA CORRIENTE"/>
    <n v="10000"/>
  </r>
  <r>
    <x v="7"/>
    <x v="41"/>
    <x v="1"/>
    <s v="REMESA DE CUENTA CORRIENTE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32D89-7255-41A4-A43D-F79BA458EC7F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50" firstHeaderRow="1" firstDataRow="2" firstDataCol="1"/>
  <pivotFields count="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6">
        <item x="11"/>
        <item x="12"/>
        <item x="18"/>
        <item x="19"/>
        <item x="20"/>
        <item x="21"/>
        <item x="22"/>
        <item x="28"/>
        <item x="29"/>
        <item x="30"/>
        <item x="31"/>
        <item x="32"/>
        <item x="33"/>
        <item x="34"/>
        <item x="35"/>
        <item x="36"/>
        <item x="37"/>
        <item x="8"/>
        <item x="9"/>
        <item x="10"/>
        <item x="16"/>
        <item x="17"/>
        <item x="42"/>
        <item x="43"/>
        <item x="44"/>
        <item x="3"/>
        <item x="4"/>
        <item x="5"/>
        <item x="6"/>
        <item x="7"/>
        <item x="13"/>
        <item x="14"/>
        <item x="15"/>
        <item x="23"/>
        <item x="24"/>
        <item x="25"/>
        <item x="26"/>
        <item x="27"/>
        <item x="38"/>
        <item x="39"/>
        <item x="40"/>
        <item x="41"/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MONTO" fld="4" baseField="0" baseItem="0"/>
  </dataFields>
  <formats count="2">
    <format dxfId="12">
      <pivotArea dataOnly="0" labelOnly="1" fieldPosition="0">
        <references count="1">
          <reference field="1" count="3">
            <x v="42"/>
            <x v="43"/>
            <x v="44"/>
          </reference>
        </references>
      </pivotArea>
    </format>
    <format dxfId="11">
      <pivotArea dataOnly="0" labelOnly="1" fieldPosition="0">
        <references count="1">
          <reference field="1" count="3">
            <x v="22"/>
            <x v="23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455F3-9BF3-4A4B-A6D7-52BFCFED764D}" name="Tabla1" displayName="Tabla1" ref="A5:J48" totalsRowShown="0" headerRowDxfId="25" dataDxfId="24" headerRowCellStyle="Moneda" dataCellStyle="Moneda">
  <autoFilter ref="A5:J48" xr:uid="{2FE455F3-9BF3-4A4B-A6D7-52BFCFED764D}"/>
  <tableColumns count="10">
    <tableColumn id="1" xr3:uid="{000CC920-BC10-4503-AF98-E916136263B4}" name="Fecha registro" dataDxfId="23"/>
    <tableColumn id="2" xr3:uid="{B5897150-D87A-4324-AD5E-7307518536E7}" name="Tipo documento" dataDxfId="22"/>
    <tableColumn id="3" xr3:uid="{6D1C7B23-EBB4-4019-9F54-8C7800A9064E}" name="Nº documento" dataDxfId="21"/>
    <tableColumn id="4" xr3:uid="{A815AAE1-98CB-4D52-B44D-FFA6C9AA4931}" name="Nº cuenta" dataDxfId="20"/>
    <tableColumn id="5" xr3:uid="{DAD9890B-0F53-4FCC-883E-17C06A5D39AE}" name="Nombre cuenta" dataDxfId="19"/>
    <tableColumn id="6" xr3:uid="{943A0E58-8FF6-4D6A-9BF4-3A1FF2FF24F3}" name="Descripción" dataDxfId="18"/>
    <tableColumn id="7" xr3:uid="{2D96F7E8-EF19-452D-AEE0-E03B835C08E4}" name="Importe debe" dataDxfId="17" dataCellStyle="Moneda"/>
    <tableColumn id="8" xr3:uid="{AA1B0F43-9051-464F-9A6E-16F4C602649F}" name="Importe haber" dataDxfId="16" dataCellStyle="Moneda"/>
    <tableColumn id="9" xr3:uid="{26A4E409-5552-4398-9E0F-68C2F92168F1}" name="Saldo" dataDxfId="15" dataCellStyle="Moneda">
      <calculatedColumnFormula>+I5+G6-H6</calculatedColumnFormula>
    </tableColumn>
    <tableColumn id="12" xr3:uid="{A2735811-768E-4E0B-B933-76D216099B6A}" name="Columna_aux" dataDxfId="14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BCF454-DA50-4466-AD98-ACB92309D79F}" name="Tabla2" displayName="Tabla2" ref="B3:F46" totalsRowShown="0" headerRowDxfId="26">
  <autoFilter ref="B3:F46" xr:uid="{CDBCF454-DA50-4466-AD98-ACB92309D79F}"/>
  <tableColumns count="5">
    <tableColumn id="1" xr3:uid="{BABE38FD-8B73-4FE7-BBB9-757ED2B66D88}" name="Fecha" dataDxfId="31"/>
    <tableColumn id="2" xr3:uid="{3F14E019-D544-40FD-8462-85752EBDC0DE}" name="Transaccion" dataDxfId="30"/>
    <tableColumn id="3" xr3:uid="{D9D72EFE-F9CD-41EA-89B1-FA9B5A185ADB}" name="Referencia" dataDxfId="29"/>
    <tableColumn id="4" xr3:uid="{A24C0851-10BA-4533-9BB4-D0F52374AE69}" name="Monto" dataDxfId="28" dataCellStyle="Moneda"/>
    <tableColumn id="5" xr3:uid="{72D73A02-2C24-434D-9B29-EF9321BCE001}" name="Saldo" dataDxfId="27">
      <calculatedColumnFormula>+F3+E4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711A-F3CF-4B40-B4A2-C0791100911B}">
  <sheetPr>
    <tabColor rgb="FFFF0000"/>
  </sheetPr>
  <dimension ref="A2:F22"/>
  <sheetViews>
    <sheetView workbookViewId="0">
      <selection activeCell="H9" sqref="H9"/>
    </sheetView>
  </sheetViews>
  <sheetFormatPr baseColWidth="10" defaultRowHeight="15" x14ac:dyDescent="0.25"/>
  <cols>
    <col min="1" max="1" width="4.28515625" style="3" customWidth="1"/>
    <col min="2" max="2" width="11.42578125" style="3"/>
    <col min="3" max="3" width="17.7109375" style="3" customWidth="1"/>
    <col min="4" max="4" width="20.7109375" style="3" customWidth="1"/>
    <col min="5" max="5" width="11.42578125" style="3"/>
    <col min="6" max="6" width="14.140625" style="2" bestFit="1" customWidth="1"/>
    <col min="7" max="16384" width="11.42578125" style="3"/>
  </cols>
  <sheetData>
    <row r="2" spans="1:6" ht="21" x14ac:dyDescent="0.35">
      <c r="B2" s="30" t="s">
        <v>52</v>
      </c>
      <c r="C2" s="30"/>
      <c r="D2" s="30"/>
      <c r="E2" s="30"/>
      <c r="F2" s="30"/>
    </row>
    <row r="3" spans="1:6" ht="15.75" x14ac:dyDescent="0.25">
      <c r="A3" s="17"/>
      <c r="B3" s="31" t="s">
        <v>42</v>
      </c>
      <c r="C3" s="31"/>
      <c r="D3" s="31"/>
      <c r="E3" s="31"/>
      <c r="F3" s="31"/>
    </row>
    <row r="4" spans="1:6" ht="15.75" x14ac:dyDescent="0.25">
      <c r="A4" s="31" t="s">
        <v>43</v>
      </c>
      <c r="B4" s="31"/>
      <c r="C4" s="31"/>
      <c r="D4" s="31"/>
      <c r="E4" s="31"/>
      <c r="F4" s="31"/>
    </row>
    <row r="5" spans="1:6" ht="15.75" x14ac:dyDescent="0.25">
      <c r="A5" s="17"/>
      <c r="B5" s="31" t="s">
        <v>0</v>
      </c>
      <c r="C5" s="31"/>
      <c r="D5" s="31"/>
      <c r="E5" s="31"/>
      <c r="F5" s="31"/>
    </row>
    <row r="7" spans="1:6" x14ac:dyDescent="0.25">
      <c r="F7" s="7"/>
    </row>
    <row r="8" spans="1:6" x14ac:dyDescent="0.25">
      <c r="B8" s="9" t="s">
        <v>1</v>
      </c>
      <c r="C8" s="9"/>
      <c r="F8" s="7">
        <v>200000</v>
      </c>
    </row>
    <row r="9" spans="1:6" x14ac:dyDescent="0.25">
      <c r="A9" s="4" t="s">
        <v>6</v>
      </c>
      <c r="B9" s="3" t="s">
        <v>2</v>
      </c>
      <c r="F9" s="7">
        <f>SUM(E11:E13)</f>
        <v>10000</v>
      </c>
    </row>
    <row r="10" spans="1:6" x14ac:dyDescent="0.25">
      <c r="F10" s="7"/>
    </row>
    <row r="11" spans="1:6" x14ac:dyDescent="0.25">
      <c r="B11" s="5">
        <v>43552</v>
      </c>
      <c r="C11" s="3">
        <v>20710</v>
      </c>
      <c r="D11" s="3" t="s">
        <v>3</v>
      </c>
      <c r="E11" s="2">
        <v>2000</v>
      </c>
    </row>
    <row r="12" spans="1:6" x14ac:dyDescent="0.25">
      <c r="B12" s="5">
        <v>43552</v>
      </c>
      <c r="C12" s="3">
        <v>20711</v>
      </c>
      <c r="D12" s="3" t="s">
        <v>4</v>
      </c>
      <c r="E12" s="2">
        <v>5000</v>
      </c>
    </row>
    <row r="13" spans="1:6" x14ac:dyDescent="0.25">
      <c r="B13" s="5">
        <v>43552</v>
      </c>
      <c r="C13" s="3">
        <v>20712</v>
      </c>
      <c r="D13" s="3" t="s">
        <v>5</v>
      </c>
      <c r="E13" s="6">
        <v>3000</v>
      </c>
    </row>
    <row r="15" spans="1:6" ht="15.75" thickBot="1" x14ac:dyDescent="0.3">
      <c r="A15" s="3" t="s">
        <v>11</v>
      </c>
      <c r="B15" s="4" t="s">
        <v>8</v>
      </c>
      <c r="C15" s="4"/>
      <c r="F15" s="8">
        <f>SUM(F8:F14)</f>
        <v>210000</v>
      </c>
    </row>
    <row r="16" spans="1:6" ht="15.75" thickTop="1" x14ac:dyDescent="0.25"/>
    <row r="17" spans="1:6" x14ac:dyDescent="0.25">
      <c r="B17" s="9" t="s">
        <v>7</v>
      </c>
      <c r="C17" s="9"/>
      <c r="F17" s="2">
        <f>+F15</f>
        <v>210000</v>
      </c>
    </row>
    <row r="19" spans="1:6" ht="15.75" thickBot="1" x14ac:dyDescent="0.3">
      <c r="A19" s="3" t="s">
        <v>11</v>
      </c>
      <c r="B19" s="4" t="s">
        <v>9</v>
      </c>
      <c r="C19" s="4"/>
      <c r="D19" s="4"/>
      <c r="F19" s="8">
        <f>+F17</f>
        <v>210000</v>
      </c>
    </row>
    <row r="20" spans="1:6" ht="15.75" thickTop="1" x14ac:dyDescent="0.25"/>
    <row r="21" spans="1:6" ht="15.75" thickBot="1" x14ac:dyDescent="0.3">
      <c r="B21" s="4" t="s">
        <v>10</v>
      </c>
      <c r="F21" s="8">
        <f>+F15-F19</f>
        <v>0</v>
      </c>
    </row>
    <row r="22" spans="1:6" ht="15.75" thickTop="1" x14ac:dyDescent="0.25"/>
  </sheetData>
  <mergeCells count="4">
    <mergeCell ref="B2:F2"/>
    <mergeCell ref="B3:F3"/>
    <mergeCell ref="B5:F5"/>
    <mergeCell ref="A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5D93-AB94-49DE-8B8F-6EEF667C919A}">
  <sheetPr>
    <tabColor rgb="FFFF0000"/>
  </sheetPr>
  <dimension ref="A1:K59"/>
  <sheetViews>
    <sheetView topLeftCell="A37" zoomScaleNormal="100" workbookViewId="0">
      <selection activeCell="J11" sqref="J11"/>
    </sheetView>
  </sheetViews>
  <sheetFormatPr baseColWidth="10" defaultRowHeight="15" x14ac:dyDescent="0.25"/>
  <cols>
    <col min="1" max="1" width="21.140625" customWidth="1"/>
    <col min="2" max="2" width="17.5703125" customWidth="1"/>
    <col min="3" max="3" width="18.140625" customWidth="1"/>
    <col min="4" max="4" width="14.7109375" customWidth="1"/>
    <col min="5" max="5" width="16.85546875" customWidth="1"/>
    <col min="6" max="6" width="21.7109375" customWidth="1"/>
    <col min="7" max="7" width="18.28515625" style="1" customWidth="1"/>
    <col min="8" max="8" width="17.28515625" style="1" customWidth="1"/>
    <col min="9" max="9" width="12.5703125" style="1" bestFit="1" customWidth="1"/>
    <col min="10" max="10" width="23.140625" style="3" customWidth="1"/>
    <col min="11" max="11" width="11.42578125" style="3"/>
  </cols>
  <sheetData>
    <row r="1" spans="1:11" ht="24.75" customHeight="1" x14ac:dyDescent="0.3">
      <c r="A1" s="32" t="s">
        <v>53</v>
      </c>
      <c r="B1" s="32"/>
      <c r="C1" s="32"/>
      <c r="D1" s="32"/>
      <c r="E1" s="32"/>
      <c r="F1" s="32"/>
      <c r="G1" s="32"/>
      <c r="H1" s="32"/>
      <c r="I1" s="32"/>
    </row>
    <row r="2" spans="1:11" x14ac:dyDescent="0.25">
      <c r="A2" s="3"/>
      <c r="B2" s="3"/>
      <c r="C2" s="3"/>
      <c r="D2" s="3"/>
      <c r="E2" s="3"/>
      <c r="F2" s="3"/>
      <c r="G2" s="2"/>
      <c r="H2" s="2"/>
      <c r="I2" s="2"/>
    </row>
    <row r="3" spans="1:11" x14ac:dyDescent="0.25">
      <c r="A3" s="3" t="s">
        <v>23</v>
      </c>
      <c r="B3" s="14" t="str">
        <f>+E7</f>
        <v>Banco X</v>
      </c>
      <c r="C3" s="3"/>
      <c r="D3" s="3"/>
      <c r="E3" s="3"/>
      <c r="F3" s="3"/>
      <c r="G3" s="2"/>
      <c r="H3" s="2"/>
      <c r="I3" s="2"/>
    </row>
    <row r="4" spans="1:11" x14ac:dyDescent="0.25">
      <c r="A4" s="3" t="s">
        <v>22</v>
      </c>
      <c r="B4" s="14">
        <f>+D10</f>
        <v>1110101</v>
      </c>
      <c r="C4" s="3"/>
      <c r="D4" s="3"/>
      <c r="E4" s="3"/>
      <c r="F4" s="3"/>
      <c r="G4" s="2"/>
      <c r="H4" s="2"/>
      <c r="I4" s="2"/>
    </row>
    <row r="5" spans="1:11" x14ac:dyDescent="0.25">
      <c r="A5" s="11" t="s">
        <v>12</v>
      </c>
      <c r="B5" s="12" t="s">
        <v>13</v>
      </c>
      <c r="C5" s="12" t="s">
        <v>14</v>
      </c>
      <c r="D5" s="12" t="s">
        <v>15</v>
      </c>
      <c r="E5" s="12" t="s">
        <v>16</v>
      </c>
      <c r="F5" s="12" t="s">
        <v>17</v>
      </c>
      <c r="G5" s="13" t="s">
        <v>18</v>
      </c>
      <c r="H5" s="13" t="s">
        <v>19</v>
      </c>
      <c r="I5" s="13" t="s">
        <v>20</v>
      </c>
      <c r="J5" s="33" t="s">
        <v>62</v>
      </c>
      <c r="K5"/>
    </row>
    <row r="6" spans="1:11" s="10" customFormat="1" ht="16.5" customHeight="1" x14ac:dyDescent="0.25">
      <c r="A6" s="15"/>
      <c r="B6" s="15"/>
      <c r="C6" s="15"/>
      <c r="D6" s="15"/>
      <c r="E6" s="15"/>
      <c r="F6" s="15"/>
      <c r="G6" s="16"/>
      <c r="H6" s="16"/>
      <c r="I6" s="16">
        <v>210000</v>
      </c>
      <c r="J6" s="2"/>
    </row>
    <row r="7" spans="1:11" x14ac:dyDescent="0.25">
      <c r="A7" s="5">
        <v>43556</v>
      </c>
      <c r="B7" s="3" t="s">
        <v>24</v>
      </c>
      <c r="C7" s="3">
        <v>20811</v>
      </c>
      <c r="D7" s="3">
        <v>1110101</v>
      </c>
      <c r="E7" s="3" t="s">
        <v>21</v>
      </c>
      <c r="F7" s="3" t="s">
        <v>3</v>
      </c>
      <c r="G7" s="2">
        <v>1000</v>
      </c>
      <c r="H7" s="2"/>
      <c r="I7" s="2">
        <f>+I6+G7-H7</f>
        <v>211000</v>
      </c>
      <c r="K7"/>
    </row>
    <row r="8" spans="1:11" x14ac:dyDescent="0.25">
      <c r="A8" s="5">
        <v>43556</v>
      </c>
      <c r="B8" s="3" t="s">
        <v>24</v>
      </c>
      <c r="C8" s="3">
        <v>20812</v>
      </c>
      <c r="D8" s="3">
        <v>1110101</v>
      </c>
      <c r="E8" s="3" t="s">
        <v>21</v>
      </c>
      <c r="F8" s="3" t="s">
        <v>3</v>
      </c>
      <c r="G8" s="2">
        <v>1000</v>
      </c>
      <c r="H8" s="2"/>
      <c r="I8" s="2">
        <f t="shared" ref="I8:I48" si="0">+I7+G8-H8</f>
        <v>212000</v>
      </c>
      <c r="K8"/>
    </row>
    <row r="9" spans="1:11" x14ac:dyDescent="0.25">
      <c r="A9" s="5">
        <v>43556</v>
      </c>
      <c r="B9" s="3" t="s">
        <v>24</v>
      </c>
      <c r="C9" s="3">
        <v>20813</v>
      </c>
      <c r="D9" s="3">
        <v>1110101</v>
      </c>
      <c r="E9" s="3" t="s">
        <v>21</v>
      </c>
      <c r="F9" s="3" t="s">
        <v>3</v>
      </c>
      <c r="G9" s="2">
        <v>1000</v>
      </c>
      <c r="H9" s="2"/>
      <c r="I9" s="2">
        <f t="shared" si="0"/>
        <v>213000</v>
      </c>
      <c r="K9"/>
    </row>
    <row r="10" spans="1:11" x14ac:dyDescent="0.25">
      <c r="A10" s="5">
        <v>43556</v>
      </c>
      <c r="B10" s="3" t="s">
        <v>24</v>
      </c>
      <c r="C10" s="3">
        <v>20814</v>
      </c>
      <c r="D10" s="3">
        <v>1110101</v>
      </c>
      <c r="E10" s="3" t="s">
        <v>21</v>
      </c>
      <c r="F10" s="3" t="s">
        <v>3</v>
      </c>
      <c r="G10" s="2">
        <v>1000</v>
      </c>
      <c r="H10" s="2"/>
      <c r="I10" s="2">
        <f t="shared" si="0"/>
        <v>214000</v>
      </c>
      <c r="K10"/>
    </row>
    <row r="11" spans="1:11" x14ac:dyDescent="0.25">
      <c r="A11" s="5">
        <v>43556</v>
      </c>
      <c r="B11" s="3" t="s">
        <v>24</v>
      </c>
      <c r="C11" s="3">
        <v>20815</v>
      </c>
      <c r="D11" s="3">
        <v>1110101</v>
      </c>
      <c r="E11" s="3" t="s">
        <v>21</v>
      </c>
      <c r="F11" s="3" t="s">
        <v>3</v>
      </c>
      <c r="G11" s="2">
        <v>1000</v>
      </c>
      <c r="H11" s="2"/>
      <c r="I11" s="2">
        <f t="shared" si="0"/>
        <v>215000</v>
      </c>
      <c r="K11"/>
    </row>
    <row r="12" spans="1:11" x14ac:dyDescent="0.25">
      <c r="A12" s="5">
        <v>43560</v>
      </c>
      <c r="B12" s="3" t="s">
        <v>25</v>
      </c>
      <c r="C12" s="3">
        <v>11711</v>
      </c>
      <c r="D12" s="3">
        <v>1110101</v>
      </c>
      <c r="E12" s="3" t="s">
        <v>21</v>
      </c>
      <c r="F12" s="3" t="s">
        <v>5</v>
      </c>
      <c r="G12" s="2">
        <v>5000</v>
      </c>
      <c r="H12" s="2"/>
      <c r="I12" s="2">
        <f t="shared" si="0"/>
        <v>220000</v>
      </c>
      <c r="K12" t="s">
        <v>55</v>
      </c>
    </row>
    <row r="13" spans="1:11" x14ac:dyDescent="0.25">
      <c r="A13" s="5">
        <v>43560</v>
      </c>
      <c r="B13" s="3" t="s">
        <v>25</v>
      </c>
      <c r="C13" s="3">
        <v>11712</v>
      </c>
      <c r="D13" s="3">
        <v>1110101</v>
      </c>
      <c r="E13" s="3" t="s">
        <v>21</v>
      </c>
      <c r="F13" s="3" t="s">
        <v>5</v>
      </c>
      <c r="G13" s="2">
        <v>1500</v>
      </c>
      <c r="H13" s="2"/>
      <c r="I13" s="2">
        <f t="shared" si="0"/>
        <v>221500</v>
      </c>
      <c r="K13"/>
    </row>
    <row r="14" spans="1:11" x14ac:dyDescent="0.25">
      <c r="A14" s="5">
        <v>43560</v>
      </c>
      <c r="B14" s="3" t="s">
        <v>25</v>
      </c>
      <c r="C14" s="3">
        <v>11713</v>
      </c>
      <c r="D14" s="3">
        <v>1110101</v>
      </c>
      <c r="E14" s="3" t="s">
        <v>21</v>
      </c>
      <c r="F14" s="3" t="s">
        <v>5</v>
      </c>
      <c r="G14" s="2">
        <v>3500</v>
      </c>
      <c r="H14" s="2"/>
      <c r="I14" s="2">
        <f t="shared" si="0"/>
        <v>225000</v>
      </c>
      <c r="K14"/>
    </row>
    <row r="15" spans="1:11" x14ac:dyDescent="0.25">
      <c r="A15" s="5">
        <v>43560</v>
      </c>
      <c r="B15" s="3" t="s">
        <v>26</v>
      </c>
      <c r="C15" s="3">
        <v>500</v>
      </c>
      <c r="D15" s="3">
        <v>1110101</v>
      </c>
      <c r="E15" s="3" t="s">
        <v>21</v>
      </c>
      <c r="F15" s="3" t="s">
        <v>27</v>
      </c>
      <c r="G15" s="2"/>
      <c r="H15" s="2">
        <v>5000</v>
      </c>
      <c r="I15" s="2">
        <f t="shared" si="0"/>
        <v>220000</v>
      </c>
      <c r="K15"/>
    </row>
    <row r="16" spans="1:11" x14ac:dyDescent="0.25">
      <c r="A16" s="5">
        <v>43560</v>
      </c>
      <c r="B16" s="3" t="s">
        <v>26</v>
      </c>
      <c r="C16" s="3">
        <v>501</v>
      </c>
      <c r="D16" s="3">
        <v>1110101</v>
      </c>
      <c r="E16" s="3" t="s">
        <v>21</v>
      </c>
      <c r="F16" s="3" t="s">
        <v>27</v>
      </c>
      <c r="G16" s="2"/>
      <c r="H16" s="2">
        <v>1000</v>
      </c>
      <c r="I16" s="2">
        <f t="shared" si="0"/>
        <v>219000</v>
      </c>
      <c r="K16"/>
    </row>
    <row r="17" spans="1:11" x14ac:dyDescent="0.25">
      <c r="A17" s="5">
        <v>43565</v>
      </c>
      <c r="B17" s="3" t="s">
        <v>24</v>
      </c>
      <c r="C17" s="3">
        <v>20820</v>
      </c>
      <c r="D17" s="3">
        <v>1110101</v>
      </c>
      <c r="E17" s="3" t="s">
        <v>21</v>
      </c>
      <c r="F17" s="3" t="s">
        <v>4</v>
      </c>
      <c r="G17" s="2">
        <v>2000</v>
      </c>
      <c r="H17" s="2"/>
      <c r="I17" s="2">
        <f t="shared" si="0"/>
        <v>221000</v>
      </c>
      <c r="K17"/>
    </row>
    <row r="18" spans="1:11" x14ac:dyDescent="0.25">
      <c r="A18" s="5">
        <v>43565</v>
      </c>
      <c r="B18" s="3" t="s">
        <v>24</v>
      </c>
      <c r="C18" s="3">
        <v>20821</v>
      </c>
      <c r="D18" s="3">
        <v>1110101</v>
      </c>
      <c r="E18" s="3" t="s">
        <v>21</v>
      </c>
      <c r="F18" s="3" t="s">
        <v>4</v>
      </c>
      <c r="G18" s="2">
        <v>2000</v>
      </c>
      <c r="H18" s="2"/>
      <c r="I18" s="2">
        <f t="shared" si="0"/>
        <v>223000</v>
      </c>
      <c r="K18"/>
    </row>
    <row r="19" spans="1:11" x14ac:dyDescent="0.25">
      <c r="A19" s="5">
        <v>43565</v>
      </c>
      <c r="B19" s="3" t="s">
        <v>28</v>
      </c>
      <c r="C19" s="3">
        <v>20822</v>
      </c>
      <c r="D19" s="3">
        <v>1110101</v>
      </c>
      <c r="E19" s="3" t="s">
        <v>21</v>
      </c>
      <c r="F19" s="3" t="s">
        <v>4</v>
      </c>
      <c r="G19" s="2">
        <v>2000</v>
      </c>
      <c r="H19" s="2"/>
      <c r="I19" s="2">
        <f t="shared" si="0"/>
        <v>225000</v>
      </c>
      <c r="K19"/>
    </row>
    <row r="20" spans="1:11" x14ac:dyDescent="0.25">
      <c r="A20" s="5">
        <v>43565</v>
      </c>
      <c r="B20" s="3" t="s">
        <v>25</v>
      </c>
      <c r="C20" s="3">
        <v>11715</v>
      </c>
      <c r="D20" s="3">
        <v>1110101</v>
      </c>
      <c r="E20" s="3" t="s">
        <v>21</v>
      </c>
      <c r="F20" s="3" t="s">
        <v>5</v>
      </c>
      <c r="G20" s="2">
        <v>5000</v>
      </c>
      <c r="H20" s="2"/>
      <c r="I20" s="2">
        <f t="shared" si="0"/>
        <v>230000</v>
      </c>
      <c r="K20"/>
    </row>
    <row r="21" spans="1:11" x14ac:dyDescent="0.25">
      <c r="A21" s="5">
        <v>43565</v>
      </c>
      <c r="B21" s="3" t="s">
        <v>25</v>
      </c>
      <c r="C21" s="3">
        <v>11716</v>
      </c>
      <c r="D21" s="3">
        <v>1110101</v>
      </c>
      <c r="E21" s="3" t="s">
        <v>21</v>
      </c>
      <c r="F21" s="3" t="s">
        <v>5</v>
      </c>
      <c r="G21" s="2">
        <v>2000</v>
      </c>
      <c r="H21" s="2"/>
      <c r="I21" s="2">
        <f t="shared" si="0"/>
        <v>232000</v>
      </c>
      <c r="K21"/>
    </row>
    <row r="22" spans="1:11" x14ac:dyDescent="0.25">
      <c r="A22" s="5">
        <v>43570</v>
      </c>
      <c r="B22" s="3" t="s">
        <v>26</v>
      </c>
      <c r="C22" s="3">
        <v>502</v>
      </c>
      <c r="D22" s="3">
        <v>1110101</v>
      </c>
      <c r="E22" s="3" t="s">
        <v>21</v>
      </c>
      <c r="F22" s="3" t="s">
        <v>29</v>
      </c>
      <c r="G22" s="2"/>
      <c r="H22" s="2">
        <v>5000</v>
      </c>
      <c r="I22" s="2">
        <f t="shared" si="0"/>
        <v>227000</v>
      </c>
      <c r="K22"/>
    </row>
    <row r="23" spans="1:11" x14ac:dyDescent="0.25">
      <c r="A23" s="5">
        <v>43570</v>
      </c>
      <c r="B23" s="3" t="s">
        <v>26</v>
      </c>
      <c r="C23" s="3">
        <v>503</v>
      </c>
      <c r="D23" s="3">
        <v>1110101</v>
      </c>
      <c r="E23" s="3" t="s">
        <v>21</v>
      </c>
      <c r="F23" s="3" t="s">
        <v>29</v>
      </c>
      <c r="G23" s="2"/>
      <c r="H23" s="2">
        <v>5000</v>
      </c>
      <c r="I23" s="2">
        <f t="shared" si="0"/>
        <v>222000</v>
      </c>
      <c r="K23"/>
    </row>
    <row r="24" spans="1:11" x14ac:dyDescent="0.25">
      <c r="A24" s="5">
        <v>43570</v>
      </c>
      <c r="B24" s="3" t="s">
        <v>26</v>
      </c>
      <c r="C24" s="3">
        <v>504</v>
      </c>
      <c r="D24" s="3">
        <v>1110101</v>
      </c>
      <c r="E24" s="3" t="s">
        <v>21</v>
      </c>
      <c r="F24" s="3" t="s">
        <v>29</v>
      </c>
      <c r="G24" s="2"/>
      <c r="H24" s="2">
        <v>5000</v>
      </c>
      <c r="I24" s="2">
        <f t="shared" si="0"/>
        <v>217000</v>
      </c>
      <c r="K24"/>
    </row>
    <row r="25" spans="1:11" x14ac:dyDescent="0.25">
      <c r="A25" s="5">
        <v>43570</v>
      </c>
      <c r="B25" s="3" t="s">
        <v>26</v>
      </c>
      <c r="C25" s="3">
        <v>505</v>
      </c>
      <c r="D25" s="3">
        <v>1110101</v>
      </c>
      <c r="E25" s="3" t="s">
        <v>21</v>
      </c>
      <c r="F25" s="3" t="s">
        <v>29</v>
      </c>
      <c r="G25" s="2"/>
      <c r="H25" s="2">
        <v>50000</v>
      </c>
      <c r="I25" s="2">
        <f t="shared" si="0"/>
        <v>167000</v>
      </c>
      <c r="K25"/>
    </row>
    <row r="26" spans="1:11" x14ac:dyDescent="0.25">
      <c r="A26" s="5">
        <v>43570</v>
      </c>
      <c r="B26" s="3" t="s">
        <v>26</v>
      </c>
      <c r="C26" s="3">
        <v>506</v>
      </c>
      <c r="D26" s="3">
        <v>1110101</v>
      </c>
      <c r="E26" s="3" t="s">
        <v>21</v>
      </c>
      <c r="F26" s="3" t="s">
        <v>29</v>
      </c>
      <c r="G26" s="2"/>
      <c r="H26" s="2">
        <v>5000</v>
      </c>
      <c r="I26" s="2">
        <f t="shared" si="0"/>
        <v>162000</v>
      </c>
      <c r="K26"/>
    </row>
    <row r="27" spans="1:11" x14ac:dyDescent="0.25">
      <c r="A27" s="5">
        <v>43575</v>
      </c>
      <c r="B27" s="3" t="s">
        <v>24</v>
      </c>
      <c r="C27" s="3">
        <v>20823</v>
      </c>
      <c r="D27" s="3">
        <v>1110101</v>
      </c>
      <c r="E27" s="3" t="s">
        <v>21</v>
      </c>
      <c r="F27" s="3" t="s">
        <v>3</v>
      </c>
      <c r="G27" s="2">
        <v>1000</v>
      </c>
      <c r="H27" s="2"/>
      <c r="I27" s="2">
        <f t="shared" si="0"/>
        <v>163000</v>
      </c>
      <c r="K27"/>
    </row>
    <row r="28" spans="1:11" x14ac:dyDescent="0.25">
      <c r="A28" s="5">
        <v>43575</v>
      </c>
      <c r="B28" s="3" t="s">
        <v>24</v>
      </c>
      <c r="C28" s="3">
        <v>20824</v>
      </c>
      <c r="D28" s="3">
        <v>1110101</v>
      </c>
      <c r="E28" s="3" t="s">
        <v>21</v>
      </c>
      <c r="F28" s="3" t="s">
        <v>3</v>
      </c>
      <c r="G28" s="2">
        <v>1000</v>
      </c>
      <c r="H28" s="2"/>
      <c r="I28" s="2">
        <f t="shared" si="0"/>
        <v>164000</v>
      </c>
      <c r="K28"/>
    </row>
    <row r="29" spans="1:11" x14ac:dyDescent="0.25">
      <c r="A29" s="5">
        <v>43575</v>
      </c>
      <c r="B29" s="3" t="s">
        <v>28</v>
      </c>
      <c r="C29" s="3">
        <v>20825</v>
      </c>
      <c r="D29" s="3">
        <v>1110101</v>
      </c>
      <c r="E29" s="3" t="s">
        <v>21</v>
      </c>
      <c r="F29" s="3" t="s">
        <v>3</v>
      </c>
      <c r="G29" s="2">
        <v>1000</v>
      </c>
      <c r="H29" s="2"/>
      <c r="I29" s="2">
        <f t="shared" si="0"/>
        <v>165000</v>
      </c>
      <c r="K29"/>
    </row>
    <row r="30" spans="1:11" x14ac:dyDescent="0.25">
      <c r="A30" s="5">
        <v>43575</v>
      </c>
      <c r="B30" s="3" t="s">
        <v>24</v>
      </c>
      <c r="C30" s="3">
        <v>20826</v>
      </c>
      <c r="D30" s="3">
        <v>1110101</v>
      </c>
      <c r="E30" s="3" t="s">
        <v>21</v>
      </c>
      <c r="F30" s="3" t="s">
        <v>3</v>
      </c>
      <c r="G30" s="2">
        <v>1000</v>
      </c>
      <c r="H30" s="2"/>
      <c r="I30" s="2">
        <f t="shared" si="0"/>
        <v>166000</v>
      </c>
      <c r="K30"/>
    </row>
    <row r="31" spans="1:11" x14ac:dyDescent="0.25">
      <c r="A31" s="5">
        <v>43575</v>
      </c>
      <c r="B31" s="3" t="s">
        <v>24</v>
      </c>
      <c r="C31" s="3">
        <v>20827</v>
      </c>
      <c r="D31" s="3">
        <v>1110101</v>
      </c>
      <c r="E31" s="3" t="s">
        <v>21</v>
      </c>
      <c r="F31" s="3" t="s">
        <v>3</v>
      </c>
      <c r="G31" s="2">
        <v>1000</v>
      </c>
      <c r="H31" s="2"/>
      <c r="I31" s="2">
        <f t="shared" si="0"/>
        <v>167000</v>
      </c>
      <c r="K31"/>
    </row>
    <row r="32" spans="1:11" x14ac:dyDescent="0.25">
      <c r="A32" s="5">
        <v>43582</v>
      </c>
      <c r="B32" s="3" t="s">
        <v>26</v>
      </c>
      <c r="C32" s="3">
        <v>507</v>
      </c>
      <c r="D32" s="3">
        <v>1110101</v>
      </c>
      <c r="E32" s="3" t="s">
        <v>21</v>
      </c>
      <c r="F32" s="3" t="s">
        <v>31</v>
      </c>
      <c r="G32" s="2"/>
      <c r="H32" s="2">
        <v>100</v>
      </c>
      <c r="I32" s="2">
        <f t="shared" si="0"/>
        <v>166900</v>
      </c>
      <c r="K32"/>
    </row>
    <row r="33" spans="1:11" x14ac:dyDescent="0.25">
      <c r="A33" s="5">
        <v>43582</v>
      </c>
      <c r="B33" s="3" t="s">
        <v>26</v>
      </c>
      <c r="C33" s="3">
        <v>508</v>
      </c>
      <c r="D33" s="3">
        <v>1110101</v>
      </c>
      <c r="E33" s="3" t="s">
        <v>21</v>
      </c>
      <c r="F33" s="3" t="s">
        <v>32</v>
      </c>
      <c r="G33" s="2"/>
      <c r="H33" s="2">
        <v>250</v>
      </c>
      <c r="I33" s="2">
        <f t="shared" si="0"/>
        <v>166650</v>
      </c>
      <c r="K33"/>
    </row>
    <row r="34" spans="1:11" x14ac:dyDescent="0.25">
      <c r="A34" s="5">
        <v>43582</v>
      </c>
      <c r="B34" s="3" t="s">
        <v>26</v>
      </c>
      <c r="C34" s="3">
        <v>509</v>
      </c>
      <c r="D34" s="3">
        <v>1110101</v>
      </c>
      <c r="E34" s="3" t="s">
        <v>21</v>
      </c>
      <c r="F34" s="3" t="s">
        <v>33</v>
      </c>
      <c r="G34" s="2"/>
      <c r="H34" s="2">
        <v>150</v>
      </c>
      <c r="I34" s="2">
        <f t="shared" si="0"/>
        <v>166500</v>
      </c>
      <c r="K34"/>
    </row>
    <row r="35" spans="1:11" x14ac:dyDescent="0.25">
      <c r="A35" s="5">
        <v>43582</v>
      </c>
      <c r="B35" s="3" t="s">
        <v>26</v>
      </c>
      <c r="C35" s="3">
        <v>510</v>
      </c>
      <c r="D35" s="3">
        <v>1110101</v>
      </c>
      <c r="E35" s="3" t="s">
        <v>21</v>
      </c>
      <c r="F35" s="3" t="s">
        <v>34</v>
      </c>
      <c r="G35" s="2"/>
      <c r="H35" s="2">
        <v>2000</v>
      </c>
      <c r="I35" s="2">
        <f t="shared" si="0"/>
        <v>164500</v>
      </c>
      <c r="K35"/>
    </row>
    <row r="36" spans="1:11" x14ac:dyDescent="0.25">
      <c r="A36" s="5">
        <v>43582</v>
      </c>
      <c r="B36" s="3" t="s">
        <v>26</v>
      </c>
      <c r="C36" s="3">
        <v>511</v>
      </c>
      <c r="D36" s="3">
        <v>1110101</v>
      </c>
      <c r="E36" s="3" t="s">
        <v>21</v>
      </c>
      <c r="F36" s="3" t="s">
        <v>35</v>
      </c>
      <c r="G36" s="2"/>
      <c r="H36" s="2">
        <v>5000</v>
      </c>
      <c r="I36" s="2">
        <f t="shared" si="0"/>
        <v>159500</v>
      </c>
      <c r="K36"/>
    </row>
    <row r="37" spans="1:11" x14ac:dyDescent="0.25">
      <c r="A37" s="5">
        <v>43585</v>
      </c>
      <c r="B37" s="3" t="s">
        <v>26</v>
      </c>
      <c r="C37" s="3">
        <v>512</v>
      </c>
      <c r="D37" s="3">
        <v>1110101</v>
      </c>
      <c r="E37" s="3" t="s">
        <v>21</v>
      </c>
      <c r="F37" s="3" t="s">
        <v>30</v>
      </c>
      <c r="G37" s="2"/>
      <c r="H37" s="2">
        <v>5000</v>
      </c>
      <c r="I37" s="2">
        <f t="shared" si="0"/>
        <v>154500</v>
      </c>
      <c r="K37"/>
    </row>
    <row r="38" spans="1:11" x14ac:dyDescent="0.25">
      <c r="A38" s="5">
        <v>43585</v>
      </c>
      <c r="B38" s="3" t="s">
        <v>26</v>
      </c>
      <c r="C38" s="3">
        <v>513</v>
      </c>
      <c r="D38" s="3">
        <v>1110101</v>
      </c>
      <c r="E38" s="3" t="s">
        <v>21</v>
      </c>
      <c r="F38" s="3" t="s">
        <v>30</v>
      </c>
      <c r="G38" s="2"/>
      <c r="H38" s="2">
        <v>50000</v>
      </c>
      <c r="I38" s="2">
        <f t="shared" si="0"/>
        <v>104500</v>
      </c>
      <c r="K38"/>
    </row>
    <row r="39" spans="1:11" x14ac:dyDescent="0.25">
      <c r="A39" s="5">
        <v>43585</v>
      </c>
      <c r="B39" s="3" t="s">
        <v>26</v>
      </c>
      <c r="C39" s="3">
        <v>514</v>
      </c>
      <c r="D39" s="3">
        <v>1110101</v>
      </c>
      <c r="E39" s="3" t="s">
        <v>21</v>
      </c>
      <c r="F39" s="3" t="s">
        <v>30</v>
      </c>
      <c r="G39" s="2"/>
      <c r="H39" s="2">
        <v>5000</v>
      </c>
      <c r="I39" s="2">
        <f t="shared" si="0"/>
        <v>99500</v>
      </c>
      <c r="K39"/>
    </row>
    <row r="40" spans="1:11" x14ac:dyDescent="0.25">
      <c r="A40" s="5">
        <v>43585</v>
      </c>
      <c r="B40" s="3" t="s">
        <v>26</v>
      </c>
      <c r="C40" s="3">
        <v>515</v>
      </c>
      <c r="D40" s="3">
        <v>1110101</v>
      </c>
      <c r="E40" s="3" t="s">
        <v>21</v>
      </c>
      <c r="F40" s="3" t="s">
        <v>30</v>
      </c>
      <c r="G40" s="2"/>
      <c r="H40" s="2">
        <v>5000</v>
      </c>
      <c r="I40" s="2">
        <f t="shared" si="0"/>
        <v>94500</v>
      </c>
      <c r="K40"/>
    </row>
    <row r="41" spans="1:11" x14ac:dyDescent="0.25">
      <c r="A41" s="5">
        <v>43585</v>
      </c>
      <c r="B41" s="3" t="s">
        <v>26</v>
      </c>
      <c r="C41" s="3">
        <v>516</v>
      </c>
      <c r="D41" s="3">
        <v>1110101</v>
      </c>
      <c r="E41" s="3" t="s">
        <v>21</v>
      </c>
      <c r="F41" s="3" t="s">
        <v>30</v>
      </c>
      <c r="G41" s="2"/>
      <c r="H41" s="2">
        <v>5000</v>
      </c>
      <c r="I41" s="2">
        <f t="shared" si="0"/>
        <v>89500</v>
      </c>
      <c r="K41"/>
    </row>
    <row r="42" spans="1:11" x14ac:dyDescent="0.25">
      <c r="A42" s="5">
        <v>43585</v>
      </c>
      <c r="B42" s="3" t="s">
        <v>24</v>
      </c>
      <c r="C42" s="3">
        <v>20828</v>
      </c>
      <c r="D42" s="3">
        <v>1110101</v>
      </c>
      <c r="E42" s="3" t="s">
        <v>21</v>
      </c>
      <c r="F42" s="3" t="s">
        <v>5</v>
      </c>
      <c r="G42" s="2">
        <v>15000</v>
      </c>
      <c r="H42" s="2"/>
      <c r="I42" s="2">
        <f t="shared" si="0"/>
        <v>104500</v>
      </c>
      <c r="K42"/>
    </row>
    <row r="43" spans="1:11" x14ac:dyDescent="0.25">
      <c r="A43" s="5">
        <v>43585</v>
      </c>
      <c r="B43" s="3" t="s">
        <v>24</v>
      </c>
      <c r="C43" s="3">
        <v>20829</v>
      </c>
      <c r="D43" s="3">
        <v>1110101</v>
      </c>
      <c r="E43" s="3" t="s">
        <v>21</v>
      </c>
      <c r="F43" s="3" t="s">
        <v>5</v>
      </c>
      <c r="G43" s="2">
        <v>15000</v>
      </c>
      <c r="H43" s="2"/>
      <c r="I43" s="2">
        <f t="shared" si="0"/>
        <v>119500</v>
      </c>
      <c r="K43"/>
    </row>
    <row r="44" spans="1:11" x14ac:dyDescent="0.25">
      <c r="A44" s="5">
        <v>43585</v>
      </c>
      <c r="B44" s="3" t="s">
        <v>24</v>
      </c>
      <c r="C44" s="3">
        <v>20830</v>
      </c>
      <c r="D44" s="3">
        <v>1110101</v>
      </c>
      <c r="E44" s="3" t="s">
        <v>21</v>
      </c>
      <c r="F44" s="3" t="s">
        <v>5</v>
      </c>
      <c r="G44" s="2">
        <v>10000</v>
      </c>
      <c r="H44" s="2"/>
      <c r="I44" s="2">
        <f t="shared" si="0"/>
        <v>129500</v>
      </c>
      <c r="K44"/>
    </row>
    <row r="45" spans="1:11" x14ac:dyDescent="0.25">
      <c r="A45" s="5">
        <v>43585</v>
      </c>
      <c r="B45" s="3" t="s">
        <v>24</v>
      </c>
      <c r="C45" s="3">
        <v>20831</v>
      </c>
      <c r="D45" s="3">
        <v>1110101</v>
      </c>
      <c r="E45" s="3" t="s">
        <v>21</v>
      </c>
      <c r="F45" s="3" t="s">
        <v>3</v>
      </c>
      <c r="G45" s="2">
        <v>2000</v>
      </c>
      <c r="H45" s="2"/>
      <c r="I45" s="2">
        <f t="shared" si="0"/>
        <v>131500</v>
      </c>
      <c r="K45"/>
    </row>
    <row r="46" spans="1:11" x14ac:dyDescent="0.25">
      <c r="A46" s="5">
        <v>43585</v>
      </c>
      <c r="B46" s="3" t="s">
        <v>24</v>
      </c>
      <c r="C46" s="3">
        <v>20832</v>
      </c>
      <c r="D46" s="3">
        <v>1110101</v>
      </c>
      <c r="E46" s="3" t="s">
        <v>21</v>
      </c>
      <c r="F46" s="3" t="s">
        <v>3</v>
      </c>
      <c r="G46" s="2">
        <v>2000</v>
      </c>
      <c r="H46" s="2"/>
      <c r="I46" s="2">
        <f t="shared" si="0"/>
        <v>133500</v>
      </c>
      <c r="K46"/>
    </row>
    <row r="47" spans="1:11" x14ac:dyDescent="0.25">
      <c r="A47" s="5">
        <v>43585</v>
      </c>
      <c r="B47" s="3" t="s">
        <v>24</v>
      </c>
      <c r="C47" s="3">
        <v>20833</v>
      </c>
      <c r="D47" s="3">
        <v>1110101</v>
      </c>
      <c r="E47" s="3" t="s">
        <v>21</v>
      </c>
      <c r="F47" s="3" t="s">
        <v>3</v>
      </c>
      <c r="G47" s="2">
        <v>2000</v>
      </c>
      <c r="H47" s="2"/>
      <c r="I47" s="2">
        <f t="shared" si="0"/>
        <v>135500</v>
      </c>
      <c r="K47"/>
    </row>
    <row r="48" spans="1:11" x14ac:dyDescent="0.25">
      <c r="A48" s="5">
        <v>43585</v>
      </c>
      <c r="B48" s="3" t="s">
        <v>24</v>
      </c>
      <c r="C48" s="3">
        <v>20834</v>
      </c>
      <c r="D48" s="3">
        <v>1110101</v>
      </c>
      <c r="E48" s="3" t="s">
        <v>21</v>
      </c>
      <c r="F48" s="3" t="s">
        <v>5</v>
      </c>
      <c r="G48" s="2">
        <v>5000</v>
      </c>
      <c r="H48" s="2"/>
      <c r="I48" s="2">
        <f t="shared" si="0"/>
        <v>140500</v>
      </c>
      <c r="K48"/>
    </row>
    <row r="49" spans="7:9" s="3" customFormat="1" x14ac:dyDescent="0.25">
      <c r="G49" s="2"/>
      <c r="H49" s="2"/>
      <c r="I49" s="2"/>
    </row>
    <row r="50" spans="7:9" s="3" customFormat="1" x14ac:dyDescent="0.25">
      <c r="G50" s="2"/>
      <c r="H50" s="2"/>
      <c r="I50" s="2"/>
    </row>
    <row r="51" spans="7:9" s="3" customFormat="1" x14ac:dyDescent="0.25">
      <c r="G51" s="2"/>
      <c r="H51" s="2"/>
      <c r="I51" s="2"/>
    </row>
    <row r="52" spans="7:9" s="3" customFormat="1" x14ac:dyDescent="0.25">
      <c r="G52" s="2"/>
      <c r="H52" s="2"/>
      <c r="I52" s="2"/>
    </row>
    <row r="53" spans="7:9" s="3" customFormat="1" x14ac:dyDescent="0.25">
      <c r="G53" s="2"/>
      <c r="H53" s="2"/>
      <c r="I53" s="2"/>
    </row>
    <row r="54" spans="7:9" s="3" customFormat="1" x14ac:dyDescent="0.25">
      <c r="G54" s="2"/>
      <c r="H54" s="2"/>
      <c r="I54" s="2"/>
    </row>
    <row r="55" spans="7:9" s="3" customFormat="1" x14ac:dyDescent="0.25">
      <c r="G55" s="2"/>
      <c r="H55" s="2"/>
      <c r="I55" s="2"/>
    </row>
    <row r="56" spans="7:9" s="3" customFormat="1" x14ac:dyDescent="0.25">
      <c r="G56" s="2"/>
      <c r="H56" s="2"/>
      <c r="I56" s="2"/>
    </row>
    <row r="57" spans="7:9" s="3" customFormat="1" x14ac:dyDescent="0.25">
      <c r="G57" s="2"/>
      <c r="H57" s="2"/>
      <c r="I57" s="2"/>
    </row>
    <row r="58" spans="7:9" s="3" customFormat="1" x14ac:dyDescent="0.25">
      <c r="G58" s="2"/>
      <c r="H58" s="2"/>
      <c r="I58" s="2"/>
    </row>
    <row r="59" spans="7:9" s="3" customFormat="1" x14ac:dyDescent="0.25">
      <c r="G59" s="2"/>
      <c r="H59" s="2"/>
      <c r="I59" s="2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6817-E41B-42FF-85BF-EDCFA4AD857A}">
  <dimension ref="D3:N90"/>
  <sheetViews>
    <sheetView topLeftCell="A37" workbookViewId="0">
      <selection activeCell="J14" sqref="J14"/>
    </sheetView>
  </sheetViews>
  <sheetFormatPr baseColWidth="10" defaultRowHeight="15" x14ac:dyDescent="0.25"/>
  <cols>
    <col min="2" max="2" width="13.28515625" customWidth="1"/>
    <col min="3" max="3" width="21.28515625" customWidth="1"/>
    <col min="4" max="4" width="12.5703125" customWidth="1"/>
    <col min="5" max="5" width="26.28515625" customWidth="1"/>
    <col min="6" max="6" width="12.7109375" customWidth="1"/>
    <col min="7" max="7" width="37.28515625" customWidth="1"/>
    <col min="8" max="8" width="14.7109375" customWidth="1"/>
    <col min="9" max="9" width="13.42578125" customWidth="1"/>
    <col min="10" max="10" width="13.7109375" customWidth="1"/>
    <col min="13" max="13" width="9.5703125" customWidth="1"/>
  </cols>
  <sheetData>
    <row r="3" spans="4:14" x14ac:dyDescent="0.25">
      <c r="D3" s="37" t="s">
        <v>56</v>
      </c>
      <c r="E3" s="37" t="s">
        <v>57</v>
      </c>
      <c r="F3" s="37" t="s">
        <v>58</v>
      </c>
      <c r="G3" s="37" t="s">
        <v>59</v>
      </c>
      <c r="H3" s="37" t="s">
        <v>60</v>
      </c>
      <c r="J3" s="40"/>
      <c r="K3" s="39" t="s">
        <v>63</v>
      </c>
      <c r="L3" s="40"/>
      <c r="M3" s="40"/>
      <c r="N3" t="s">
        <v>64</v>
      </c>
    </row>
    <row r="4" spans="4:14" x14ac:dyDescent="0.25">
      <c r="D4" s="41">
        <v>43552</v>
      </c>
      <c r="E4" s="38">
        <v>20832</v>
      </c>
      <c r="F4" s="36" t="s">
        <v>61</v>
      </c>
      <c r="G4" s="38" t="s">
        <v>3</v>
      </c>
      <c r="H4" s="42">
        <v>2000</v>
      </c>
    </row>
    <row r="5" spans="4:14" x14ac:dyDescent="0.25">
      <c r="D5" s="41">
        <v>43552</v>
      </c>
      <c r="E5" s="38">
        <v>20833</v>
      </c>
      <c r="F5" s="36" t="s">
        <v>61</v>
      </c>
      <c r="G5" s="38" t="s">
        <v>3</v>
      </c>
      <c r="H5" s="42">
        <v>2000</v>
      </c>
      <c r="J5" t="s">
        <v>65</v>
      </c>
    </row>
    <row r="6" spans="4:14" x14ac:dyDescent="0.25">
      <c r="D6" s="41">
        <v>43552</v>
      </c>
      <c r="E6" s="38">
        <v>20834</v>
      </c>
      <c r="F6" s="36" t="s">
        <v>61</v>
      </c>
      <c r="G6" s="38" t="s">
        <v>5</v>
      </c>
      <c r="H6" s="42">
        <v>5000</v>
      </c>
    </row>
    <row r="7" spans="4:14" x14ac:dyDescent="0.25">
      <c r="D7" s="34">
        <v>43556</v>
      </c>
      <c r="E7" s="35">
        <v>20811</v>
      </c>
      <c r="F7" s="36" t="s">
        <v>61</v>
      </c>
      <c r="G7" s="35" t="s">
        <v>3</v>
      </c>
      <c r="H7" s="42">
        <v>1000</v>
      </c>
    </row>
    <row r="8" spans="4:14" x14ac:dyDescent="0.25">
      <c r="D8" s="34">
        <v>43556</v>
      </c>
      <c r="E8" s="35">
        <v>20812</v>
      </c>
      <c r="F8" s="36" t="s">
        <v>61</v>
      </c>
      <c r="G8" s="35" t="s">
        <v>3</v>
      </c>
      <c r="H8" s="42">
        <v>1000</v>
      </c>
    </row>
    <row r="9" spans="4:14" x14ac:dyDescent="0.25">
      <c r="D9" s="34">
        <v>43556</v>
      </c>
      <c r="E9" s="35">
        <v>20813</v>
      </c>
      <c r="F9" s="36" t="s">
        <v>61</v>
      </c>
      <c r="G9" s="35" t="s">
        <v>3</v>
      </c>
      <c r="H9" s="42">
        <v>1000</v>
      </c>
    </row>
    <row r="10" spans="4:14" x14ac:dyDescent="0.25">
      <c r="D10" s="34">
        <v>43556</v>
      </c>
      <c r="E10" s="35">
        <v>20814</v>
      </c>
      <c r="F10" s="36" t="s">
        <v>61</v>
      </c>
      <c r="G10" s="35" t="s">
        <v>3</v>
      </c>
      <c r="H10" s="42">
        <v>1000</v>
      </c>
    </row>
    <row r="11" spans="4:14" x14ac:dyDescent="0.25">
      <c r="D11" s="34">
        <v>43556</v>
      </c>
      <c r="E11" s="35">
        <v>20815</v>
      </c>
      <c r="F11" s="36" t="s">
        <v>61</v>
      </c>
      <c r="G11" s="35" t="s">
        <v>3</v>
      </c>
      <c r="H11" s="42">
        <v>1000</v>
      </c>
    </row>
    <row r="12" spans="4:14" x14ac:dyDescent="0.25">
      <c r="D12" s="34">
        <v>43560</v>
      </c>
      <c r="E12" s="35">
        <v>11711</v>
      </c>
      <c r="F12" s="36" t="s">
        <v>61</v>
      </c>
      <c r="G12" s="35" t="s">
        <v>5</v>
      </c>
      <c r="H12" s="42">
        <v>5000</v>
      </c>
    </row>
    <row r="13" spans="4:14" x14ac:dyDescent="0.25">
      <c r="D13" s="34">
        <v>43560</v>
      </c>
      <c r="E13" s="35">
        <v>11712</v>
      </c>
      <c r="F13" s="36" t="s">
        <v>61</v>
      </c>
      <c r="G13" s="35" t="s">
        <v>5</v>
      </c>
      <c r="H13" s="42">
        <v>1500</v>
      </c>
    </row>
    <row r="14" spans="4:14" x14ac:dyDescent="0.25">
      <c r="D14" s="34">
        <v>43560</v>
      </c>
      <c r="E14" s="35">
        <v>11713</v>
      </c>
      <c r="F14" s="36" t="s">
        <v>61</v>
      </c>
      <c r="G14" s="35" t="s">
        <v>5</v>
      </c>
      <c r="H14" s="42">
        <v>3500</v>
      </c>
    </row>
    <row r="15" spans="4:14" x14ac:dyDescent="0.25">
      <c r="D15" s="34">
        <v>43560</v>
      </c>
      <c r="E15" s="35">
        <v>500</v>
      </c>
      <c r="F15" s="36" t="s">
        <v>61</v>
      </c>
      <c r="G15" s="35" t="s">
        <v>27</v>
      </c>
      <c r="H15" s="42">
        <v>-5000</v>
      </c>
    </row>
    <row r="16" spans="4:14" x14ac:dyDescent="0.25">
      <c r="D16" s="34">
        <v>43560</v>
      </c>
      <c r="E16" s="35">
        <v>501</v>
      </c>
      <c r="F16" s="36" t="s">
        <v>61</v>
      </c>
      <c r="G16" s="35" t="s">
        <v>27</v>
      </c>
      <c r="H16" s="42">
        <v>-1000</v>
      </c>
    </row>
    <row r="17" spans="4:8" x14ac:dyDescent="0.25">
      <c r="D17" s="34">
        <v>43565</v>
      </c>
      <c r="E17" s="35">
        <v>20820</v>
      </c>
      <c r="F17" s="36" t="s">
        <v>61</v>
      </c>
      <c r="G17" s="35" t="s">
        <v>4</v>
      </c>
      <c r="H17" s="42">
        <v>2000</v>
      </c>
    </row>
    <row r="18" spans="4:8" x14ac:dyDescent="0.25">
      <c r="D18" s="34">
        <v>43565</v>
      </c>
      <c r="E18" s="35">
        <v>20821</v>
      </c>
      <c r="F18" s="36" t="s">
        <v>61</v>
      </c>
      <c r="G18" s="35" t="s">
        <v>4</v>
      </c>
      <c r="H18" s="42">
        <v>2000</v>
      </c>
    </row>
    <row r="19" spans="4:8" x14ac:dyDescent="0.25">
      <c r="D19" s="34">
        <v>43565</v>
      </c>
      <c r="E19" s="35">
        <v>20822</v>
      </c>
      <c r="F19" s="36" t="s">
        <v>61</v>
      </c>
      <c r="G19" s="35" t="s">
        <v>4</v>
      </c>
      <c r="H19" s="42">
        <v>2000</v>
      </c>
    </row>
    <row r="20" spans="4:8" x14ac:dyDescent="0.25">
      <c r="D20" s="34">
        <v>43565</v>
      </c>
      <c r="E20" s="35">
        <v>11715</v>
      </c>
      <c r="F20" s="36" t="s">
        <v>61</v>
      </c>
      <c r="G20" s="35" t="s">
        <v>5</v>
      </c>
      <c r="H20" s="42">
        <v>5000</v>
      </c>
    </row>
    <row r="21" spans="4:8" x14ac:dyDescent="0.25">
      <c r="D21" s="34">
        <v>43565</v>
      </c>
      <c r="E21" s="35">
        <v>11716</v>
      </c>
      <c r="F21" s="36" t="s">
        <v>61</v>
      </c>
      <c r="G21" s="35" t="s">
        <v>5</v>
      </c>
      <c r="H21" s="42">
        <v>2000</v>
      </c>
    </row>
    <row r="22" spans="4:8" x14ac:dyDescent="0.25">
      <c r="D22" s="34">
        <v>43570</v>
      </c>
      <c r="E22" s="35">
        <v>502</v>
      </c>
      <c r="F22" s="36" t="s">
        <v>61</v>
      </c>
      <c r="G22" s="35" t="s">
        <v>29</v>
      </c>
      <c r="H22" s="42">
        <v>-5000</v>
      </c>
    </row>
    <row r="23" spans="4:8" x14ac:dyDescent="0.25">
      <c r="D23" s="34">
        <v>43570</v>
      </c>
      <c r="E23" s="35">
        <v>503</v>
      </c>
      <c r="F23" s="36" t="s">
        <v>61</v>
      </c>
      <c r="G23" s="35" t="s">
        <v>29</v>
      </c>
      <c r="H23" s="42">
        <v>-5000</v>
      </c>
    </row>
    <row r="24" spans="4:8" x14ac:dyDescent="0.25">
      <c r="D24" s="34">
        <v>43570</v>
      </c>
      <c r="E24" s="35">
        <v>504</v>
      </c>
      <c r="F24" s="36" t="s">
        <v>61</v>
      </c>
      <c r="G24" s="35" t="s">
        <v>29</v>
      </c>
      <c r="H24" s="42">
        <v>-5000</v>
      </c>
    </row>
    <row r="25" spans="4:8" x14ac:dyDescent="0.25">
      <c r="D25" s="34">
        <v>43570</v>
      </c>
      <c r="E25" s="35">
        <v>505</v>
      </c>
      <c r="F25" s="36" t="s">
        <v>61</v>
      </c>
      <c r="G25" s="35" t="s">
        <v>29</v>
      </c>
      <c r="H25" s="42">
        <v>-50000</v>
      </c>
    </row>
    <row r="26" spans="4:8" x14ac:dyDescent="0.25">
      <c r="D26" s="34">
        <v>43570</v>
      </c>
      <c r="E26" s="35">
        <v>506</v>
      </c>
      <c r="F26" s="36" t="s">
        <v>61</v>
      </c>
      <c r="G26" s="35" t="s">
        <v>29</v>
      </c>
      <c r="H26" s="42">
        <v>-5000</v>
      </c>
    </row>
    <row r="27" spans="4:8" x14ac:dyDescent="0.25">
      <c r="D27" s="34">
        <v>43575</v>
      </c>
      <c r="E27" s="35">
        <v>20823</v>
      </c>
      <c r="F27" s="36" t="s">
        <v>61</v>
      </c>
      <c r="G27" s="35" t="s">
        <v>3</v>
      </c>
      <c r="H27" s="42">
        <v>1000</v>
      </c>
    </row>
    <row r="28" spans="4:8" x14ac:dyDescent="0.25">
      <c r="D28" s="34">
        <v>43575</v>
      </c>
      <c r="E28" s="35">
        <v>20824</v>
      </c>
      <c r="F28" s="36" t="s">
        <v>61</v>
      </c>
      <c r="G28" s="35" t="s">
        <v>3</v>
      </c>
      <c r="H28" s="42">
        <v>1000</v>
      </c>
    </row>
    <row r="29" spans="4:8" x14ac:dyDescent="0.25">
      <c r="D29" s="34">
        <v>43575</v>
      </c>
      <c r="E29" s="35">
        <v>20825</v>
      </c>
      <c r="F29" s="36" t="s">
        <v>61</v>
      </c>
      <c r="G29" s="35" t="s">
        <v>3</v>
      </c>
      <c r="H29" s="42">
        <v>1000</v>
      </c>
    </row>
    <row r="30" spans="4:8" x14ac:dyDescent="0.25">
      <c r="D30" s="34">
        <v>43575</v>
      </c>
      <c r="E30" s="35">
        <v>20826</v>
      </c>
      <c r="F30" s="36" t="s">
        <v>61</v>
      </c>
      <c r="G30" s="35" t="s">
        <v>3</v>
      </c>
      <c r="H30" s="42">
        <v>1000</v>
      </c>
    </row>
    <row r="31" spans="4:8" x14ac:dyDescent="0.25">
      <c r="D31" s="34">
        <v>43575</v>
      </c>
      <c r="E31" s="35">
        <v>20827</v>
      </c>
      <c r="F31" s="36" t="s">
        <v>61</v>
      </c>
      <c r="G31" s="35" t="s">
        <v>3</v>
      </c>
      <c r="H31" s="42">
        <v>1000</v>
      </c>
    </row>
    <row r="32" spans="4:8" x14ac:dyDescent="0.25">
      <c r="D32" s="34">
        <v>43582</v>
      </c>
      <c r="E32" s="35">
        <v>507</v>
      </c>
      <c r="F32" s="36" t="s">
        <v>61</v>
      </c>
      <c r="G32" s="35" t="s">
        <v>31</v>
      </c>
      <c r="H32" s="42">
        <v>-100</v>
      </c>
    </row>
    <row r="33" spans="4:8" x14ac:dyDescent="0.25">
      <c r="D33" s="34">
        <v>43582</v>
      </c>
      <c r="E33" s="35">
        <v>508</v>
      </c>
      <c r="F33" s="36" t="s">
        <v>61</v>
      </c>
      <c r="G33" s="35" t="s">
        <v>32</v>
      </c>
      <c r="H33" s="42">
        <v>-250</v>
      </c>
    </row>
    <row r="34" spans="4:8" x14ac:dyDescent="0.25">
      <c r="D34" s="34">
        <v>43582</v>
      </c>
      <c r="E34" s="35">
        <v>509</v>
      </c>
      <c r="F34" s="36" t="s">
        <v>61</v>
      </c>
      <c r="G34" s="35" t="s">
        <v>33</v>
      </c>
      <c r="H34" s="42">
        <v>-150</v>
      </c>
    </row>
    <row r="35" spans="4:8" x14ac:dyDescent="0.25">
      <c r="D35" s="34">
        <v>43582</v>
      </c>
      <c r="E35" s="35">
        <v>510</v>
      </c>
      <c r="F35" s="36" t="s">
        <v>61</v>
      </c>
      <c r="G35" s="35" t="s">
        <v>34</v>
      </c>
      <c r="H35" s="42">
        <v>-2000</v>
      </c>
    </row>
    <row r="36" spans="4:8" x14ac:dyDescent="0.25">
      <c r="D36" s="34">
        <v>43582</v>
      </c>
      <c r="E36" s="35">
        <v>511</v>
      </c>
      <c r="F36" s="36" t="s">
        <v>61</v>
      </c>
      <c r="G36" s="35" t="s">
        <v>35</v>
      </c>
      <c r="H36" s="42">
        <v>-5000</v>
      </c>
    </row>
    <row r="37" spans="4:8" x14ac:dyDescent="0.25">
      <c r="D37" s="34">
        <v>43585</v>
      </c>
      <c r="E37" s="35">
        <v>512</v>
      </c>
      <c r="F37" s="36" t="s">
        <v>61</v>
      </c>
      <c r="G37" s="35" t="s">
        <v>30</v>
      </c>
      <c r="H37" s="42">
        <v>-5000</v>
      </c>
    </row>
    <row r="38" spans="4:8" x14ac:dyDescent="0.25">
      <c r="D38" s="34">
        <v>43585</v>
      </c>
      <c r="E38" s="35">
        <v>513</v>
      </c>
      <c r="F38" s="36" t="s">
        <v>61</v>
      </c>
      <c r="G38" s="35" t="s">
        <v>30</v>
      </c>
      <c r="H38" s="42">
        <v>-50000</v>
      </c>
    </row>
    <row r="39" spans="4:8" x14ac:dyDescent="0.25">
      <c r="D39" s="34">
        <v>43585</v>
      </c>
      <c r="E39" s="35">
        <v>514</v>
      </c>
      <c r="F39" s="36" t="s">
        <v>61</v>
      </c>
      <c r="G39" s="35" t="s">
        <v>30</v>
      </c>
      <c r="H39" s="42">
        <v>-5000</v>
      </c>
    </row>
    <row r="40" spans="4:8" x14ac:dyDescent="0.25">
      <c r="D40" s="34">
        <v>43585</v>
      </c>
      <c r="E40" s="35">
        <v>515</v>
      </c>
      <c r="F40" s="36" t="s">
        <v>61</v>
      </c>
      <c r="G40" s="35" t="s">
        <v>30</v>
      </c>
      <c r="H40" s="42">
        <v>-5000</v>
      </c>
    </row>
    <row r="41" spans="4:8" x14ac:dyDescent="0.25">
      <c r="D41" s="34">
        <v>43585</v>
      </c>
      <c r="E41" s="35">
        <v>516</v>
      </c>
      <c r="F41" s="36" t="s">
        <v>61</v>
      </c>
      <c r="G41" s="35" t="s">
        <v>30</v>
      </c>
      <c r="H41" s="42">
        <v>-5000</v>
      </c>
    </row>
    <row r="42" spans="4:8" x14ac:dyDescent="0.25">
      <c r="D42" s="34">
        <v>43585</v>
      </c>
      <c r="E42" s="35">
        <v>20828</v>
      </c>
      <c r="F42" s="36" t="s">
        <v>61</v>
      </c>
      <c r="G42" s="35" t="s">
        <v>5</v>
      </c>
      <c r="H42" s="42">
        <v>15000</v>
      </c>
    </row>
    <row r="43" spans="4:8" x14ac:dyDescent="0.25">
      <c r="D43" s="34">
        <v>43585</v>
      </c>
      <c r="E43" s="35">
        <v>20829</v>
      </c>
      <c r="F43" s="36" t="s">
        <v>61</v>
      </c>
      <c r="G43" s="35" t="s">
        <v>5</v>
      </c>
      <c r="H43" s="42">
        <v>15000</v>
      </c>
    </row>
    <row r="44" spans="4:8" x14ac:dyDescent="0.25">
      <c r="D44" s="34">
        <v>43585</v>
      </c>
      <c r="E44" s="35">
        <v>20830</v>
      </c>
      <c r="F44" s="36" t="s">
        <v>61</v>
      </c>
      <c r="G44" s="35" t="s">
        <v>5</v>
      </c>
      <c r="H44" s="42">
        <v>10000</v>
      </c>
    </row>
    <row r="45" spans="4:8" x14ac:dyDescent="0.25">
      <c r="D45" s="34">
        <v>43585</v>
      </c>
      <c r="E45" s="35">
        <v>20831</v>
      </c>
      <c r="F45" s="36" t="s">
        <v>61</v>
      </c>
      <c r="G45" s="35" t="s">
        <v>3</v>
      </c>
      <c r="H45" s="42">
        <v>2000</v>
      </c>
    </row>
    <row r="46" spans="4:8" x14ac:dyDescent="0.25">
      <c r="D46" s="34">
        <v>43585</v>
      </c>
      <c r="E46" s="35">
        <v>20832</v>
      </c>
      <c r="F46" s="36" t="s">
        <v>61</v>
      </c>
      <c r="G46" s="35" t="s">
        <v>3</v>
      </c>
      <c r="H46" s="42">
        <v>2000</v>
      </c>
    </row>
    <row r="47" spans="4:8" x14ac:dyDescent="0.25">
      <c r="D47" s="34">
        <v>43585</v>
      </c>
      <c r="E47" s="35">
        <v>20833</v>
      </c>
      <c r="F47" s="36" t="s">
        <v>61</v>
      </c>
      <c r="G47" s="35" t="s">
        <v>3</v>
      </c>
      <c r="H47" s="42">
        <v>2000</v>
      </c>
    </row>
    <row r="48" spans="4:8" x14ac:dyDescent="0.25">
      <c r="D48" s="34">
        <v>43585</v>
      </c>
      <c r="E48" s="35">
        <v>20834</v>
      </c>
      <c r="F48" s="36" t="s">
        <v>61</v>
      </c>
      <c r="G48" s="35" t="s">
        <v>5</v>
      </c>
      <c r="H48" s="42">
        <v>5000</v>
      </c>
    </row>
    <row r="49" spans="4:8" x14ac:dyDescent="0.25">
      <c r="D49" s="43">
        <v>43556</v>
      </c>
      <c r="E49" s="36">
        <v>20710</v>
      </c>
      <c r="F49" s="46" t="s">
        <v>48</v>
      </c>
      <c r="G49" s="47" t="s">
        <v>40</v>
      </c>
      <c r="H49" s="45">
        <v>2000</v>
      </c>
    </row>
    <row r="50" spans="4:8" x14ac:dyDescent="0.25">
      <c r="D50" s="44">
        <v>43556</v>
      </c>
      <c r="E50" s="36">
        <v>20711</v>
      </c>
      <c r="F50" s="46" t="s">
        <v>48</v>
      </c>
      <c r="G50" s="48" t="s">
        <v>40</v>
      </c>
      <c r="H50" s="45">
        <v>5000</v>
      </c>
    </row>
    <row r="51" spans="4:8" x14ac:dyDescent="0.25">
      <c r="D51" s="43">
        <v>43556</v>
      </c>
      <c r="E51" s="36">
        <v>20712</v>
      </c>
      <c r="F51" s="46" t="s">
        <v>48</v>
      </c>
      <c r="G51" s="47" t="s">
        <v>40</v>
      </c>
      <c r="H51" s="45">
        <v>3000</v>
      </c>
    </row>
    <row r="52" spans="4:8" x14ac:dyDescent="0.25">
      <c r="D52" s="44">
        <v>43556</v>
      </c>
      <c r="E52" s="36">
        <v>20811</v>
      </c>
      <c r="F52" s="46" t="s">
        <v>48</v>
      </c>
      <c r="G52" s="48" t="s">
        <v>40</v>
      </c>
      <c r="H52" s="45">
        <v>1000</v>
      </c>
    </row>
    <row r="53" spans="4:8" x14ac:dyDescent="0.25">
      <c r="D53" s="43">
        <v>43556</v>
      </c>
      <c r="E53" s="36">
        <v>20812</v>
      </c>
      <c r="F53" s="46" t="s">
        <v>48</v>
      </c>
      <c r="G53" s="47" t="s">
        <v>40</v>
      </c>
      <c r="H53" s="45">
        <v>1000</v>
      </c>
    </row>
    <row r="54" spans="4:8" x14ac:dyDescent="0.25">
      <c r="D54" s="44">
        <v>43556</v>
      </c>
      <c r="E54" s="36">
        <v>20813</v>
      </c>
      <c r="F54" s="46" t="s">
        <v>48</v>
      </c>
      <c r="G54" s="48" t="s">
        <v>40</v>
      </c>
      <c r="H54" s="45">
        <v>1000</v>
      </c>
    </row>
    <row r="55" spans="4:8" x14ac:dyDescent="0.25">
      <c r="D55" s="43">
        <v>43556</v>
      </c>
      <c r="E55" s="36">
        <v>20814</v>
      </c>
      <c r="F55" s="46" t="s">
        <v>48</v>
      </c>
      <c r="G55" s="47" t="s">
        <v>40</v>
      </c>
      <c r="H55" s="45">
        <v>1000</v>
      </c>
    </row>
    <row r="56" spans="4:8" x14ac:dyDescent="0.25">
      <c r="D56" s="44">
        <v>43556</v>
      </c>
      <c r="E56" s="36">
        <v>20815</v>
      </c>
      <c r="F56" s="46" t="s">
        <v>48</v>
      </c>
      <c r="G56" s="48" t="s">
        <v>40</v>
      </c>
      <c r="H56" s="45">
        <v>1000</v>
      </c>
    </row>
    <row r="57" spans="4:8" x14ac:dyDescent="0.25">
      <c r="D57" s="43">
        <v>43560</v>
      </c>
      <c r="E57" s="36">
        <v>11711</v>
      </c>
      <c r="F57" s="46" t="s">
        <v>48</v>
      </c>
      <c r="G57" s="47" t="s">
        <v>41</v>
      </c>
      <c r="H57" s="45">
        <v>5000</v>
      </c>
    </row>
    <row r="58" spans="4:8" x14ac:dyDescent="0.25">
      <c r="D58" s="44">
        <v>43560</v>
      </c>
      <c r="E58" s="36">
        <v>11712</v>
      </c>
      <c r="F58" s="46" t="s">
        <v>48</v>
      </c>
      <c r="G58" s="48" t="s">
        <v>41</v>
      </c>
      <c r="H58" s="45">
        <v>1500</v>
      </c>
    </row>
    <row r="59" spans="4:8" x14ac:dyDescent="0.25">
      <c r="D59" s="43">
        <v>43562</v>
      </c>
      <c r="E59" s="36">
        <v>11713</v>
      </c>
      <c r="F59" s="46" t="s">
        <v>48</v>
      </c>
      <c r="G59" s="47" t="s">
        <v>41</v>
      </c>
      <c r="H59" s="45">
        <v>3500</v>
      </c>
    </row>
    <row r="60" spans="4:8" x14ac:dyDescent="0.25">
      <c r="D60" s="44">
        <v>43567</v>
      </c>
      <c r="E60" s="36">
        <v>501</v>
      </c>
      <c r="F60" s="46" t="s">
        <v>48</v>
      </c>
      <c r="G60" s="48" t="s">
        <v>46</v>
      </c>
      <c r="H60" s="45">
        <v>-1000</v>
      </c>
    </row>
    <row r="61" spans="4:8" x14ac:dyDescent="0.25">
      <c r="D61" s="43">
        <v>43565</v>
      </c>
      <c r="E61" s="36">
        <v>20820</v>
      </c>
      <c r="F61" s="46" t="s">
        <v>48</v>
      </c>
      <c r="G61" s="47" t="s">
        <v>40</v>
      </c>
      <c r="H61" s="45">
        <v>2000</v>
      </c>
    </row>
    <row r="62" spans="4:8" x14ac:dyDescent="0.25">
      <c r="D62" s="44">
        <v>43565</v>
      </c>
      <c r="E62" s="36">
        <v>20821</v>
      </c>
      <c r="F62" s="46" t="s">
        <v>48</v>
      </c>
      <c r="G62" s="48" t="s">
        <v>40</v>
      </c>
      <c r="H62" s="45">
        <v>2000</v>
      </c>
    </row>
    <row r="63" spans="4:8" x14ac:dyDescent="0.25">
      <c r="D63" s="43">
        <v>43565</v>
      </c>
      <c r="E63" s="36">
        <v>20822</v>
      </c>
      <c r="F63" s="46" t="s">
        <v>48</v>
      </c>
      <c r="G63" s="47" t="s">
        <v>40</v>
      </c>
      <c r="H63" s="45">
        <v>2000</v>
      </c>
    </row>
    <row r="64" spans="4:8" x14ac:dyDescent="0.25">
      <c r="D64" s="44">
        <v>43565</v>
      </c>
      <c r="E64" s="36">
        <v>11715</v>
      </c>
      <c r="F64" s="46" t="s">
        <v>48</v>
      </c>
      <c r="G64" s="48" t="s">
        <v>41</v>
      </c>
      <c r="H64" s="45">
        <v>5000</v>
      </c>
    </row>
    <row r="65" spans="4:8" x14ac:dyDescent="0.25">
      <c r="D65" s="43">
        <v>43565</v>
      </c>
      <c r="E65" s="36">
        <v>11716</v>
      </c>
      <c r="F65" s="46" t="s">
        <v>48</v>
      </c>
      <c r="G65" s="47" t="s">
        <v>41</v>
      </c>
      <c r="H65" s="45">
        <v>2000</v>
      </c>
    </row>
    <row r="66" spans="4:8" x14ac:dyDescent="0.25">
      <c r="D66" s="44">
        <v>43567</v>
      </c>
      <c r="E66" s="36">
        <v>500</v>
      </c>
      <c r="F66" s="46" t="s">
        <v>48</v>
      </c>
      <c r="G66" s="48" t="s">
        <v>46</v>
      </c>
      <c r="H66" s="45">
        <v>-5000</v>
      </c>
    </row>
    <row r="67" spans="4:8" x14ac:dyDescent="0.25">
      <c r="D67" s="43">
        <v>43570</v>
      </c>
      <c r="E67" s="36">
        <v>502</v>
      </c>
      <c r="F67" s="46" t="s">
        <v>48</v>
      </c>
      <c r="G67" s="47" t="s">
        <v>45</v>
      </c>
      <c r="H67" s="45">
        <v>-5000</v>
      </c>
    </row>
    <row r="68" spans="4:8" x14ac:dyDescent="0.25">
      <c r="D68" s="44">
        <v>43570</v>
      </c>
      <c r="E68" s="36">
        <v>503</v>
      </c>
      <c r="F68" s="46" t="s">
        <v>48</v>
      </c>
      <c r="G68" s="48" t="s">
        <v>45</v>
      </c>
      <c r="H68" s="45">
        <v>-5000</v>
      </c>
    </row>
    <row r="69" spans="4:8" x14ac:dyDescent="0.25">
      <c r="D69" s="43">
        <v>43570</v>
      </c>
      <c r="E69" s="36">
        <v>504</v>
      </c>
      <c r="F69" s="46" t="s">
        <v>48</v>
      </c>
      <c r="G69" s="47" t="s">
        <v>45</v>
      </c>
      <c r="H69" s="45">
        <v>-5000</v>
      </c>
    </row>
    <row r="70" spans="4:8" x14ac:dyDescent="0.25">
      <c r="D70" s="44">
        <v>43570</v>
      </c>
      <c r="E70" s="36">
        <v>505</v>
      </c>
      <c r="F70" s="46" t="s">
        <v>48</v>
      </c>
      <c r="G70" s="48" t="s">
        <v>45</v>
      </c>
      <c r="H70" s="45">
        <v>-50000</v>
      </c>
    </row>
    <row r="71" spans="4:8" x14ac:dyDescent="0.25">
      <c r="D71" s="43">
        <v>43575</v>
      </c>
      <c r="E71" s="36">
        <v>20823</v>
      </c>
      <c r="F71" s="46" t="s">
        <v>48</v>
      </c>
      <c r="G71" s="47" t="s">
        <v>40</v>
      </c>
      <c r="H71" s="45">
        <v>1000</v>
      </c>
    </row>
    <row r="72" spans="4:8" x14ac:dyDescent="0.25">
      <c r="D72" s="44">
        <v>43575</v>
      </c>
      <c r="E72" s="36">
        <v>20824</v>
      </c>
      <c r="F72" s="46" t="s">
        <v>48</v>
      </c>
      <c r="G72" s="48" t="s">
        <v>40</v>
      </c>
      <c r="H72" s="45">
        <v>1000</v>
      </c>
    </row>
    <row r="73" spans="4:8" x14ac:dyDescent="0.25">
      <c r="D73" s="43">
        <v>43575</v>
      </c>
      <c r="E73" s="36">
        <v>20825</v>
      </c>
      <c r="F73" s="46" t="s">
        <v>48</v>
      </c>
      <c r="G73" s="47" t="s">
        <v>40</v>
      </c>
      <c r="H73" s="45">
        <v>1000</v>
      </c>
    </row>
    <row r="74" spans="4:8" x14ac:dyDescent="0.25">
      <c r="D74" s="44">
        <v>43575</v>
      </c>
      <c r="E74" s="36">
        <v>20826</v>
      </c>
      <c r="F74" s="46" t="s">
        <v>48</v>
      </c>
      <c r="G74" s="48" t="s">
        <v>40</v>
      </c>
      <c r="H74" s="45">
        <v>1000</v>
      </c>
    </row>
    <row r="75" spans="4:8" x14ac:dyDescent="0.25">
      <c r="D75" s="43">
        <v>43576</v>
      </c>
      <c r="E75" s="36">
        <v>506</v>
      </c>
      <c r="F75" s="46" t="s">
        <v>48</v>
      </c>
      <c r="G75" s="47" t="s">
        <v>45</v>
      </c>
      <c r="H75" s="45">
        <v>-5000</v>
      </c>
    </row>
    <row r="76" spans="4:8" x14ac:dyDescent="0.25">
      <c r="D76" s="44">
        <v>43575</v>
      </c>
      <c r="E76" s="36">
        <v>20827</v>
      </c>
      <c r="F76" s="46" t="s">
        <v>48</v>
      </c>
      <c r="G76" s="48" t="s">
        <v>40</v>
      </c>
      <c r="H76" s="45">
        <v>1000</v>
      </c>
    </row>
    <row r="77" spans="4:8" x14ac:dyDescent="0.25">
      <c r="D77" s="43">
        <v>43582</v>
      </c>
      <c r="E77" s="36">
        <v>507</v>
      </c>
      <c r="F77" s="46" t="s">
        <v>48</v>
      </c>
      <c r="G77" s="47" t="s">
        <v>46</v>
      </c>
      <c r="H77" s="45">
        <v>-100</v>
      </c>
    </row>
    <row r="78" spans="4:8" x14ac:dyDescent="0.25">
      <c r="D78" s="44">
        <v>43582</v>
      </c>
      <c r="E78" s="36">
        <v>508</v>
      </c>
      <c r="F78" s="46" t="s">
        <v>48</v>
      </c>
      <c r="G78" s="48" t="s">
        <v>46</v>
      </c>
      <c r="H78" s="45">
        <v>-250</v>
      </c>
    </row>
    <row r="79" spans="4:8" x14ac:dyDescent="0.25">
      <c r="D79" s="43">
        <v>43582</v>
      </c>
      <c r="E79" s="36">
        <v>509</v>
      </c>
      <c r="F79" s="46" t="s">
        <v>48</v>
      </c>
      <c r="G79" s="47" t="s">
        <v>46</v>
      </c>
      <c r="H79" s="45">
        <v>-150</v>
      </c>
    </row>
    <row r="80" spans="4:8" x14ac:dyDescent="0.25">
      <c r="D80" s="44">
        <v>43582</v>
      </c>
      <c r="E80" s="36">
        <v>510</v>
      </c>
      <c r="F80" s="46" t="s">
        <v>48</v>
      </c>
      <c r="G80" s="48" t="s">
        <v>46</v>
      </c>
      <c r="H80" s="45">
        <v>-2000</v>
      </c>
    </row>
    <row r="81" spans="4:8" x14ac:dyDescent="0.25">
      <c r="D81" s="43">
        <v>43582</v>
      </c>
      <c r="E81" s="36">
        <v>511</v>
      </c>
      <c r="F81" s="46" t="s">
        <v>48</v>
      </c>
      <c r="G81" s="47" t="s">
        <v>46</v>
      </c>
      <c r="H81" s="45">
        <v>-5000</v>
      </c>
    </row>
    <row r="82" spans="4:8" x14ac:dyDescent="0.25">
      <c r="D82" s="44">
        <v>43585</v>
      </c>
      <c r="E82" s="36">
        <v>512</v>
      </c>
      <c r="F82" s="46" t="s">
        <v>48</v>
      </c>
      <c r="G82" s="48" t="s">
        <v>45</v>
      </c>
      <c r="H82" s="45">
        <v>-5000</v>
      </c>
    </row>
    <row r="83" spans="4:8" x14ac:dyDescent="0.25">
      <c r="D83" s="43">
        <v>43585</v>
      </c>
      <c r="E83" s="36">
        <v>513</v>
      </c>
      <c r="F83" s="46" t="s">
        <v>48</v>
      </c>
      <c r="G83" s="47" t="s">
        <v>45</v>
      </c>
      <c r="H83" s="45">
        <v>-50000</v>
      </c>
    </row>
    <row r="84" spans="4:8" x14ac:dyDescent="0.25">
      <c r="D84" s="44">
        <v>43585</v>
      </c>
      <c r="E84" s="36">
        <v>514</v>
      </c>
      <c r="F84" s="46" t="s">
        <v>48</v>
      </c>
      <c r="G84" s="48" t="s">
        <v>45</v>
      </c>
      <c r="H84" s="45">
        <v>-5000</v>
      </c>
    </row>
    <row r="85" spans="4:8" x14ac:dyDescent="0.25">
      <c r="D85" s="43">
        <v>43585</v>
      </c>
      <c r="E85" s="36">
        <v>515</v>
      </c>
      <c r="F85" s="46" t="s">
        <v>48</v>
      </c>
      <c r="G85" s="47" t="s">
        <v>45</v>
      </c>
      <c r="H85" s="45">
        <v>-5000</v>
      </c>
    </row>
    <row r="86" spans="4:8" x14ac:dyDescent="0.25">
      <c r="D86" s="44">
        <v>43585</v>
      </c>
      <c r="E86" s="36">
        <v>516</v>
      </c>
      <c r="F86" s="46" t="s">
        <v>48</v>
      </c>
      <c r="G86" s="48" t="s">
        <v>45</v>
      </c>
      <c r="H86" s="45">
        <v>-5000</v>
      </c>
    </row>
    <row r="87" spans="4:8" x14ac:dyDescent="0.25">
      <c r="D87" s="43">
        <v>43585</v>
      </c>
      <c r="E87" s="36">
        <v>20828</v>
      </c>
      <c r="F87" s="46" t="s">
        <v>48</v>
      </c>
      <c r="G87" s="47" t="s">
        <v>40</v>
      </c>
      <c r="H87" s="45">
        <v>15000</v>
      </c>
    </row>
    <row r="88" spans="4:8" x14ac:dyDescent="0.25">
      <c r="D88" s="44">
        <v>43585</v>
      </c>
      <c r="E88" s="36">
        <v>20829</v>
      </c>
      <c r="F88" s="46" t="s">
        <v>48</v>
      </c>
      <c r="G88" s="48" t="s">
        <v>40</v>
      </c>
      <c r="H88" s="45">
        <v>15000</v>
      </c>
    </row>
    <row r="89" spans="4:8" x14ac:dyDescent="0.25">
      <c r="D89" s="43">
        <v>43585</v>
      </c>
      <c r="E89" s="36">
        <v>20830</v>
      </c>
      <c r="F89" s="46" t="s">
        <v>48</v>
      </c>
      <c r="G89" s="47" t="s">
        <v>40</v>
      </c>
      <c r="H89" s="45">
        <v>10000</v>
      </c>
    </row>
    <row r="90" spans="4:8" x14ac:dyDescent="0.25">
      <c r="D90" s="44">
        <v>43585</v>
      </c>
      <c r="E90" s="36">
        <v>20831</v>
      </c>
      <c r="F90" s="46" t="s">
        <v>48</v>
      </c>
      <c r="G90" s="48" t="s">
        <v>40</v>
      </c>
      <c r="H90" s="45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31E8-5727-44EE-B795-DC44DADF6840}">
  <dimension ref="A3:D50"/>
  <sheetViews>
    <sheetView topLeftCell="A37" workbookViewId="0">
      <selection activeCell="G29" sqref="G29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9" bestFit="1" customWidth="1"/>
    <col min="4" max="4" width="12.5703125" bestFit="1" customWidth="1"/>
  </cols>
  <sheetData>
    <row r="3" spans="1:4" x14ac:dyDescent="0.25">
      <c r="A3" s="26" t="s">
        <v>66</v>
      </c>
      <c r="B3" s="26" t="s">
        <v>54</v>
      </c>
    </row>
    <row r="4" spans="1:4" x14ac:dyDescent="0.25">
      <c r="A4" s="26" t="s">
        <v>50</v>
      </c>
      <c r="B4" t="s">
        <v>48</v>
      </c>
      <c r="C4" t="s">
        <v>61</v>
      </c>
      <c r="D4" t="s">
        <v>49</v>
      </c>
    </row>
    <row r="5" spans="1:4" x14ac:dyDescent="0.25">
      <c r="A5" s="27">
        <v>500</v>
      </c>
      <c r="B5" s="28">
        <v>-5000</v>
      </c>
      <c r="C5" s="28">
        <v>-5000</v>
      </c>
      <c r="D5" s="28">
        <v>-10000</v>
      </c>
    </row>
    <row r="6" spans="1:4" x14ac:dyDescent="0.25">
      <c r="A6" s="27">
        <v>501</v>
      </c>
      <c r="B6" s="28">
        <v>-1000</v>
      </c>
      <c r="C6" s="28">
        <v>-1000</v>
      </c>
      <c r="D6" s="28">
        <v>-2000</v>
      </c>
    </row>
    <row r="7" spans="1:4" x14ac:dyDescent="0.25">
      <c r="A7" s="27">
        <v>502</v>
      </c>
      <c r="B7" s="28">
        <v>-5000</v>
      </c>
      <c r="C7" s="28">
        <v>-5000</v>
      </c>
      <c r="D7" s="28">
        <v>-10000</v>
      </c>
    </row>
    <row r="8" spans="1:4" x14ac:dyDescent="0.25">
      <c r="A8" s="27">
        <v>503</v>
      </c>
      <c r="B8" s="28">
        <v>-5000</v>
      </c>
      <c r="C8" s="28">
        <v>-5000</v>
      </c>
      <c r="D8" s="28">
        <v>-10000</v>
      </c>
    </row>
    <row r="9" spans="1:4" x14ac:dyDescent="0.25">
      <c r="A9" s="27">
        <v>504</v>
      </c>
      <c r="B9" s="28">
        <v>-5000</v>
      </c>
      <c r="C9" s="28">
        <v>-5000</v>
      </c>
      <c r="D9" s="28">
        <v>-10000</v>
      </c>
    </row>
    <row r="10" spans="1:4" x14ac:dyDescent="0.25">
      <c r="A10" s="27">
        <v>505</v>
      </c>
      <c r="B10" s="28">
        <v>-50000</v>
      </c>
      <c r="C10" s="28">
        <v>-50000</v>
      </c>
      <c r="D10" s="28">
        <v>-100000</v>
      </c>
    </row>
    <row r="11" spans="1:4" x14ac:dyDescent="0.25">
      <c r="A11" s="27">
        <v>506</v>
      </c>
      <c r="B11" s="28">
        <v>-5000</v>
      </c>
      <c r="C11" s="28">
        <v>-5000</v>
      </c>
      <c r="D11" s="28">
        <v>-10000</v>
      </c>
    </row>
    <row r="12" spans="1:4" x14ac:dyDescent="0.25">
      <c r="A12" s="27">
        <v>507</v>
      </c>
      <c r="B12" s="28">
        <v>-100</v>
      </c>
      <c r="C12" s="28">
        <v>-100</v>
      </c>
      <c r="D12" s="28">
        <v>-200</v>
      </c>
    </row>
    <row r="13" spans="1:4" x14ac:dyDescent="0.25">
      <c r="A13" s="27">
        <v>508</v>
      </c>
      <c r="B13" s="28">
        <v>-250</v>
      </c>
      <c r="C13" s="28">
        <v>-250</v>
      </c>
      <c r="D13" s="28">
        <v>-500</v>
      </c>
    </row>
    <row r="14" spans="1:4" x14ac:dyDescent="0.25">
      <c r="A14" s="27">
        <v>509</v>
      </c>
      <c r="B14" s="28">
        <v>-150</v>
      </c>
      <c r="C14" s="28">
        <v>-150</v>
      </c>
      <c r="D14" s="28">
        <v>-300</v>
      </c>
    </row>
    <row r="15" spans="1:4" x14ac:dyDescent="0.25">
      <c r="A15" s="27">
        <v>510</v>
      </c>
      <c r="B15" s="28">
        <v>-2000</v>
      </c>
      <c r="C15" s="28">
        <v>-2000</v>
      </c>
      <c r="D15" s="28">
        <v>-4000</v>
      </c>
    </row>
    <row r="16" spans="1:4" x14ac:dyDescent="0.25">
      <c r="A16" s="27">
        <v>511</v>
      </c>
      <c r="B16" s="28">
        <v>-5000</v>
      </c>
      <c r="C16" s="28">
        <v>-5000</v>
      </c>
      <c r="D16" s="28">
        <v>-10000</v>
      </c>
    </row>
    <row r="17" spans="1:4" x14ac:dyDescent="0.25">
      <c r="A17" s="27">
        <v>512</v>
      </c>
      <c r="B17" s="28">
        <v>-5000</v>
      </c>
      <c r="C17" s="28">
        <v>-5000</v>
      </c>
      <c r="D17" s="28">
        <v>-10000</v>
      </c>
    </row>
    <row r="18" spans="1:4" x14ac:dyDescent="0.25">
      <c r="A18" s="27">
        <v>513</v>
      </c>
      <c r="B18" s="28">
        <v>-50000</v>
      </c>
      <c r="C18" s="28">
        <v>-50000</v>
      </c>
      <c r="D18" s="28">
        <v>-100000</v>
      </c>
    </row>
    <row r="19" spans="1:4" x14ac:dyDescent="0.25">
      <c r="A19" s="27">
        <v>514</v>
      </c>
      <c r="B19" s="28">
        <v>-5000</v>
      </c>
      <c r="C19" s="28">
        <v>-5000</v>
      </c>
      <c r="D19" s="28">
        <v>-10000</v>
      </c>
    </row>
    <row r="20" spans="1:4" x14ac:dyDescent="0.25">
      <c r="A20" s="27">
        <v>515</v>
      </c>
      <c r="B20" s="28">
        <v>-5000</v>
      </c>
      <c r="C20" s="28">
        <v>-5000</v>
      </c>
      <c r="D20" s="28">
        <v>-10000</v>
      </c>
    </row>
    <row r="21" spans="1:4" x14ac:dyDescent="0.25">
      <c r="A21" s="27">
        <v>516</v>
      </c>
      <c r="B21" s="28">
        <v>-5000</v>
      </c>
      <c r="C21" s="28">
        <v>-5000</v>
      </c>
      <c r="D21" s="28">
        <v>-10000</v>
      </c>
    </row>
    <row r="22" spans="1:4" x14ac:dyDescent="0.25">
      <c r="A22" s="27">
        <v>11711</v>
      </c>
      <c r="B22" s="28">
        <v>5000</v>
      </c>
      <c r="C22" s="28">
        <v>5000</v>
      </c>
      <c r="D22" s="28">
        <v>10000</v>
      </c>
    </row>
    <row r="23" spans="1:4" x14ac:dyDescent="0.25">
      <c r="A23" s="27">
        <v>11712</v>
      </c>
      <c r="B23" s="28">
        <v>1500</v>
      </c>
      <c r="C23" s="28">
        <v>1500</v>
      </c>
      <c r="D23" s="28">
        <v>3000</v>
      </c>
    </row>
    <row r="24" spans="1:4" x14ac:dyDescent="0.25">
      <c r="A24" s="27">
        <v>11713</v>
      </c>
      <c r="B24" s="28">
        <v>3500</v>
      </c>
      <c r="C24" s="28">
        <v>3500</v>
      </c>
      <c r="D24" s="28">
        <v>7000</v>
      </c>
    </row>
    <row r="25" spans="1:4" x14ac:dyDescent="0.25">
      <c r="A25" s="27">
        <v>11715</v>
      </c>
      <c r="B25" s="28">
        <v>5000</v>
      </c>
      <c r="C25" s="28">
        <v>5000</v>
      </c>
      <c r="D25" s="28">
        <v>10000</v>
      </c>
    </row>
    <row r="26" spans="1:4" x14ac:dyDescent="0.25">
      <c r="A26" s="27">
        <v>11716</v>
      </c>
      <c r="B26" s="28">
        <v>2000</v>
      </c>
      <c r="C26" s="28">
        <v>2000</v>
      </c>
      <c r="D26" s="28">
        <v>4000</v>
      </c>
    </row>
    <row r="27" spans="1:4" x14ac:dyDescent="0.25">
      <c r="A27" s="49">
        <v>20710</v>
      </c>
      <c r="B27" s="28">
        <v>2000</v>
      </c>
      <c r="C27" s="28"/>
      <c r="D27" s="28">
        <v>2000</v>
      </c>
    </row>
    <row r="28" spans="1:4" x14ac:dyDescent="0.25">
      <c r="A28" s="49">
        <v>20711</v>
      </c>
      <c r="B28" s="28">
        <v>5000</v>
      </c>
      <c r="C28" s="28"/>
      <c r="D28" s="28">
        <v>5000</v>
      </c>
    </row>
    <row r="29" spans="1:4" x14ac:dyDescent="0.25">
      <c r="A29" s="49">
        <v>20712</v>
      </c>
      <c r="B29" s="28">
        <v>3000</v>
      </c>
      <c r="C29" s="28"/>
      <c r="D29" s="28">
        <v>3000</v>
      </c>
    </row>
    <row r="30" spans="1:4" x14ac:dyDescent="0.25">
      <c r="A30" s="27">
        <v>20811</v>
      </c>
      <c r="B30" s="28">
        <v>1000</v>
      </c>
      <c r="C30" s="28">
        <v>1000</v>
      </c>
      <c r="D30" s="28">
        <v>2000</v>
      </c>
    </row>
    <row r="31" spans="1:4" x14ac:dyDescent="0.25">
      <c r="A31" s="27">
        <v>20812</v>
      </c>
      <c r="B31" s="28">
        <v>1000</v>
      </c>
      <c r="C31" s="28">
        <v>1000</v>
      </c>
      <c r="D31" s="28">
        <v>2000</v>
      </c>
    </row>
    <row r="32" spans="1:4" x14ac:dyDescent="0.25">
      <c r="A32" s="27">
        <v>20813</v>
      </c>
      <c r="B32" s="28">
        <v>1000</v>
      </c>
      <c r="C32" s="28">
        <v>1000</v>
      </c>
      <c r="D32" s="28">
        <v>2000</v>
      </c>
    </row>
    <row r="33" spans="1:4" x14ac:dyDescent="0.25">
      <c r="A33" s="27">
        <v>20814</v>
      </c>
      <c r="B33" s="28">
        <v>1000</v>
      </c>
      <c r="C33" s="28">
        <v>1000</v>
      </c>
      <c r="D33" s="28">
        <v>2000</v>
      </c>
    </row>
    <row r="34" spans="1:4" x14ac:dyDescent="0.25">
      <c r="A34" s="27">
        <v>20815</v>
      </c>
      <c r="B34" s="28">
        <v>1000</v>
      </c>
      <c r="C34" s="28">
        <v>1000</v>
      </c>
      <c r="D34" s="28">
        <v>2000</v>
      </c>
    </row>
    <row r="35" spans="1:4" x14ac:dyDescent="0.25">
      <c r="A35" s="27">
        <v>20820</v>
      </c>
      <c r="B35" s="28">
        <v>2000</v>
      </c>
      <c r="C35" s="28">
        <v>2000</v>
      </c>
      <c r="D35" s="28">
        <v>4000</v>
      </c>
    </row>
    <row r="36" spans="1:4" x14ac:dyDescent="0.25">
      <c r="A36" s="27">
        <v>20821</v>
      </c>
      <c r="B36" s="28">
        <v>2000</v>
      </c>
      <c r="C36" s="28">
        <v>2000</v>
      </c>
      <c r="D36" s="28">
        <v>4000</v>
      </c>
    </row>
    <row r="37" spans="1:4" x14ac:dyDescent="0.25">
      <c r="A37" s="27">
        <v>20822</v>
      </c>
      <c r="B37" s="28">
        <v>2000</v>
      </c>
      <c r="C37" s="28">
        <v>2000</v>
      </c>
      <c r="D37" s="28">
        <v>4000</v>
      </c>
    </row>
    <row r="38" spans="1:4" x14ac:dyDescent="0.25">
      <c r="A38" s="27">
        <v>20823</v>
      </c>
      <c r="B38" s="28">
        <v>1000</v>
      </c>
      <c r="C38" s="28">
        <v>1000</v>
      </c>
      <c r="D38" s="28">
        <v>2000</v>
      </c>
    </row>
    <row r="39" spans="1:4" x14ac:dyDescent="0.25">
      <c r="A39" s="27">
        <v>20824</v>
      </c>
      <c r="B39" s="28">
        <v>1000</v>
      </c>
      <c r="C39" s="28">
        <v>1000</v>
      </c>
      <c r="D39" s="28">
        <v>2000</v>
      </c>
    </row>
    <row r="40" spans="1:4" x14ac:dyDescent="0.25">
      <c r="A40" s="27">
        <v>20825</v>
      </c>
      <c r="B40" s="28">
        <v>1000</v>
      </c>
      <c r="C40" s="28">
        <v>1000</v>
      </c>
      <c r="D40" s="28">
        <v>2000</v>
      </c>
    </row>
    <row r="41" spans="1:4" x14ac:dyDescent="0.25">
      <c r="A41" s="27">
        <v>20826</v>
      </c>
      <c r="B41" s="28">
        <v>1000</v>
      </c>
      <c r="C41" s="28">
        <v>1000</v>
      </c>
      <c r="D41" s="28">
        <v>2000</v>
      </c>
    </row>
    <row r="42" spans="1:4" x14ac:dyDescent="0.25">
      <c r="A42" s="27">
        <v>20827</v>
      </c>
      <c r="B42" s="28">
        <v>1000</v>
      </c>
      <c r="C42" s="28">
        <v>1000</v>
      </c>
      <c r="D42" s="28">
        <v>2000</v>
      </c>
    </row>
    <row r="43" spans="1:4" x14ac:dyDescent="0.25">
      <c r="A43" s="27">
        <v>20828</v>
      </c>
      <c r="B43" s="28">
        <v>15000</v>
      </c>
      <c r="C43" s="28">
        <v>15000</v>
      </c>
      <c r="D43" s="28">
        <v>30000</v>
      </c>
    </row>
    <row r="44" spans="1:4" x14ac:dyDescent="0.25">
      <c r="A44" s="27">
        <v>20829</v>
      </c>
      <c r="B44" s="28">
        <v>15000</v>
      </c>
      <c r="C44" s="28">
        <v>15000</v>
      </c>
      <c r="D44" s="28">
        <v>30000</v>
      </c>
    </row>
    <row r="45" spans="1:4" x14ac:dyDescent="0.25">
      <c r="A45" s="27">
        <v>20830</v>
      </c>
      <c r="B45" s="28">
        <v>10000</v>
      </c>
      <c r="C45" s="28">
        <v>10000</v>
      </c>
      <c r="D45" s="28">
        <v>20000</v>
      </c>
    </row>
    <row r="46" spans="1:4" x14ac:dyDescent="0.25">
      <c r="A46" s="27">
        <v>20831</v>
      </c>
      <c r="B46" s="28">
        <v>2000</v>
      </c>
      <c r="C46" s="28">
        <v>2000</v>
      </c>
      <c r="D46" s="28">
        <v>4000</v>
      </c>
    </row>
    <row r="47" spans="1:4" x14ac:dyDescent="0.25">
      <c r="A47" s="29">
        <v>20832</v>
      </c>
      <c r="B47" s="28"/>
      <c r="C47" s="28">
        <v>4000</v>
      </c>
      <c r="D47" s="28">
        <v>4000</v>
      </c>
    </row>
    <row r="48" spans="1:4" x14ac:dyDescent="0.25">
      <c r="A48" s="29">
        <v>20833</v>
      </c>
      <c r="B48" s="28"/>
      <c r="C48" s="28">
        <v>4000</v>
      </c>
      <c r="D48" s="28">
        <v>4000</v>
      </c>
    </row>
    <row r="49" spans="1:4" x14ac:dyDescent="0.25">
      <c r="A49" s="29">
        <v>20834</v>
      </c>
      <c r="B49" s="28"/>
      <c r="C49" s="28">
        <v>10000</v>
      </c>
      <c r="D49" s="28">
        <v>10000</v>
      </c>
    </row>
    <row r="50" spans="1:4" x14ac:dyDescent="0.25">
      <c r="A50" s="27" t="s">
        <v>49</v>
      </c>
      <c r="B50" s="28">
        <v>-68500</v>
      </c>
      <c r="C50" s="28">
        <v>-60500</v>
      </c>
      <c r="D50" s="28">
        <v>-129000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83AF-260E-4A37-BA67-C0ADC36879FB}">
  <sheetPr>
    <tabColor rgb="FFFF0000"/>
  </sheetPr>
  <dimension ref="A2:G46"/>
  <sheetViews>
    <sheetView zoomScaleNormal="100" workbookViewId="0">
      <selection activeCell="E5" sqref="E5:E46"/>
    </sheetView>
  </sheetViews>
  <sheetFormatPr baseColWidth="10" defaultRowHeight="15" x14ac:dyDescent="0.25"/>
  <cols>
    <col min="1" max="1" width="11.42578125" style="20"/>
    <col min="2" max="2" width="11.5703125" style="20" bestFit="1" customWidth="1"/>
    <col min="3" max="3" width="34" style="20" customWidth="1"/>
    <col min="4" max="4" width="13.42578125" style="20" customWidth="1"/>
    <col min="5" max="5" width="14.28515625" style="24" customWidth="1"/>
    <col min="6" max="6" width="20.140625" style="20" customWidth="1"/>
    <col min="7" max="7" width="13.85546875" style="20" bestFit="1" customWidth="1"/>
    <col min="8" max="16384" width="11.42578125" style="20"/>
  </cols>
  <sheetData>
    <row r="2" spans="1:7" x14ac:dyDescent="0.25">
      <c r="A2" s="20" t="s">
        <v>47</v>
      </c>
    </row>
    <row r="3" spans="1:7" x14ac:dyDescent="0.25">
      <c r="B3" s="18" t="s">
        <v>36</v>
      </c>
      <c r="C3" s="18" t="s">
        <v>37</v>
      </c>
      <c r="D3" s="18" t="s">
        <v>38</v>
      </c>
      <c r="E3" s="19" t="s">
        <v>39</v>
      </c>
      <c r="F3" s="19" t="s">
        <v>20</v>
      </c>
    </row>
    <row r="4" spans="1:7" x14ac:dyDescent="0.25">
      <c r="B4" s="18"/>
      <c r="C4" s="18"/>
      <c r="D4" s="18"/>
      <c r="E4" s="19"/>
      <c r="F4" s="22">
        <v>200000</v>
      </c>
      <c r="G4" s="25"/>
    </row>
    <row r="5" spans="1:7" x14ac:dyDescent="0.25">
      <c r="B5" s="21">
        <v>43556</v>
      </c>
      <c r="C5" s="20" t="s">
        <v>40</v>
      </c>
      <c r="D5" s="20">
        <v>20710</v>
      </c>
      <c r="E5" s="22">
        <v>2000</v>
      </c>
      <c r="F5" s="25">
        <f>+F4+E5</f>
        <v>202000</v>
      </c>
    </row>
    <row r="6" spans="1:7" x14ac:dyDescent="0.25">
      <c r="B6" s="21">
        <v>43556</v>
      </c>
      <c r="C6" s="20" t="s">
        <v>40</v>
      </c>
      <c r="D6" s="20">
        <v>20711</v>
      </c>
      <c r="E6" s="22">
        <v>5000</v>
      </c>
      <c r="F6" s="25">
        <f t="shared" ref="F6:F46" si="0">+F5+E6</f>
        <v>207000</v>
      </c>
    </row>
    <row r="7" spans="1:7" x14ac:dyDescent="0.25">
      <c r="B7" s="21">
        <v>43556</v>
      </c>
      <c r="C7" s="20" t="s">
        <v>40</v>
      </c>
      <c r="D7" s="20">
        <v>20712</v>
      </c>
      <c r="E7" s="22">
        <v>3000</v>
      </c>
      <c r="F7" s="25">
        <f t="shared" si="0"/>
        <v>210000</v>
      </c>
    </row>
    <row r="8" spans="1:7" x14ac:dyDescent="0.25">
      <c r="B8" s="21">
        <v>43556</v>
      </c>
      <c r="C8" s="20" t="s">
        <v>40</v>
      </c>
      <c r="D8" s="20">
        <v>20811</v>
      </c>
      <c r="E8" s="22">
        <v>1000</v>
      </c>
      <c r="F8" s="25">
        <f t="shared" si="0"/>
        <v>211000</v>
      </c>
    </row>
    <row r="9" spans="1:7" x14ac:dyDescent="0.25">
      <c r="B9" s="21">
        <v>43556</v>
      </c>
      <c r="C9" s="20" t="s">
        <v>40</v>
      </c>
      <c r="D9" s="20">
        <v>20812</v>
      </c>
      <c r="E9" s="22">
        <v>1000</v>
      </c>
      <c r="F9" s="25">
        <f t="shared" si="0"/>
        <v>212000</v>
      </c>
    </row>
    <row r="10" spans="1:7" x14ac:dyDescent="0.25">
      <c r="B10" s="21">
        <v>43556</v>
      </c>
      <c r="C10" s="20" t="s">
        <v>40</v>
      </c>
      <c r="D10" s="20">
        <v>20813</v>
      </c>
      <c r="E10" s="22">
        <v>1000</v>
      </c>
      <c r="F10" s="25">
        <f t="shared" si="0"/>
        <v>213000</v>
      </c>
    </row>
    <row r="11" spans="1:7" x14ac:dyDescent="0.25">
      <c r="B11" s="21">
        <v>43556</v>
      </c>
      <c r="C11" s="20" t="s">
        <v>40</v>
      </c>
      <c r="D11" s="20">
        <v>20814</v>
      </c>
      <c r="E11" s="22">
        <v>1000</v>
      </c>
      <c r="F11" s="25">
        <f t="shared" si="0"/>
        <v>214000</v>
      </c>
    </row>
    <row r="12" spans="1:7" x14ac:dyDescent="0.25">
      <c r="B12" s="21">
        <v>43556</v>
      </c>
      <c r="C12" s="20" t="s">
        <v>40</v>
      </c>
      <c r="D12" s="20">
        <v>20815</v>
      </c>
      <c r="E12" s="22">
        <v>1000</v>
      </c>
      <c r="F12" s="25">
        <f t="shared" si="0"/>
        <v>215000</v>
      </c>
    </row>
    <row r="13" spans="1:7" x14ac:dyDescent="0.25">
      <c r="B13" s="21">
        <v>43560</v>
      </c>
      <c r="C13" s="20" t="s">
        <v>41</v>
      </c>
      <c r="D13" s="20">
        <v>11711</v>
      </c>
      <c r="E13" s="22">
        <v>5000</v>
      </c>
      <c r="F13" s="25">
        <f t="shared" si="0"/>
        <v>220000</v>
      </c>
    </row>
    <row r="14" spans="1:7" x14ac:dyDescent="0.25">
      <c r="B14" s="21">
        <v>43560</v>
      </c>
      <c r="C14" s="20" t="s">
        <v>41</v>
      </c>
      <c r="D14" s="20">
        <v>11712</v>
      </c>
      <c r="E14" s="22">
        <v>1500</v>
      </c>
      <c r="F14" s="25">
        <f t="shared" si="0"/>
        <v>221500</v>
      </c>
    </row>
    <row r="15" spans="1:7" x14ac:dyDescent="0.25">
      <c r="B15" s="21">
        <v>43562</v>
      </c>
      <c r="C15" s="20" t="s">
        <v>41</v>
      </c>
      <c r="D15" s="20">
        <v>11713</v>
      </c>
      <c r="E15" s="22">
        <v>3500</v>
      </c>
      <c r="F15" s="25">
        <f t="shared" si="0"/>
        <v>225000</v>
      </c>
    </row>
    <row r="16" spans="1:7" x14ac:dyDescent="0.25">
      <c r="B16" s="21">
        <v>43567</v>
      </c>
      <c r="C16" s="20" t="s">
        <v>46</v>
      </c>
      <c r="D16" s="20">
        <v>501</v>
      </c>
      <c r="E16" s="23">
        <v>-1000</v>
      </c>
      <c r="F16" s="25">
        <f t="shared" si="0"/>
        <v>224000</v>
      </c>
    </row>
    <row r="17" spans="2:6" x14ac:dyDescent="0.25">
      <c r="B17" s="21">
        <v>43565</v>
      </c>
      <c r="C17" s="20" t="s">
        <v>40</v>
      </c>
      <c r="D17" s="20">
        <v>20820</v>
      </c>
      <c r="E17" s="22">
        <v>2000</v>
      </c>
      <c r="F17" s="25">
        <f t="shared" si="0"/>
        <v>226000</v>
      </c>
    </row>
    <row r="18" spans="2:6" x14ac:dyDescent="0.25">
      <c r="B18" s="21">
        <v>43565</v>
      </c>
      <c r="C18" s="20" t="s">
        <v>40</v>
      </c>
      <c r="D18" s="20">
        <v>20821</v>
      </c>
      <c r="E18" s="22">
        <v>2000</v>
      </c>
      <c r="F18" s="25">
        <f t="shared" si="0"/>
        <v>228000</v>
      </c>
    </row>
    <row r="19" spans="2:6" x14ac:dyDescent="0.25">
      <c r="B19" s="21">
        <v>43565</v>
      </c>
      <c r="C19" s="20" t="s">
        <v>40</v>
      </c>
      <c r="D19" s="20">
        <v>20822</v>
      </c>
      <c r="E19" s="22">
        <v>2000</v>
      </c>
      <c r="F19" s="25">
        <f t="shared" si="0"/>
        <v>230000</v>
      </c>
    </row>
    <row r="20" spans="2:6" x14ac:dyDescent="0.25">
      <c r="B20" s="21">
        <v>43565</v>
      </c>
      <c r="C20" s="20" t="s">
        <v>41</v>
      </c>
      <c r="D20" s="20">
        <v>11715</v>
      </c>
      <c r="E20" s="22">
        <v>5000</v>
      </c>
      <c r="F20" s="25">
        <f t="shared" si="0"/>
        <v>235000</v>
      </c>
    </row>
    <row r="21" spans="2:6" x14ac:dyDescent="0.25">
      <c r="B21" s="21">
        <v>43565</v>
      </c>
      <c r="C21" s="20" t="s">
        <v>41</v>
      </c>
      <c r="D21" s="20">
        <v>11716</v>
      </c>
      <c r="E21" s="22">
        <v>2000</v>
      </c>
      <c r="F21" s="25">
        <f t="shared" si="0"/>
        <v>237000</v>
      </c>
    </row>
    <row r="22" spans="2:6" x14ac:dyDescent="0.25">
      <c r="B22" s="21">
        <v>43567</v>
      </c>
      <c r="C22" s="20" t="s">
        <v>46</v>
      </c>
      <c r="D22" s="20">
        <v>500</v>
      </c>
      <c r="E22" s="23">
        <v>-5000</v>
      </c>
      <c r="F22" s="25">
        <f t="shared" si="0"/>
        <v>232000</v>
      </c>
    </row>
    <row r="23" spans="2:6" x14ac:dyDescent="0.25">
      <c r="B23" s="21">
        <v>43570</v>
      </c>
      <c r="C23" s="20" t="s">
        <v>45</v>
      </c>
      <c r="D23" s="20">
        <v>502</v>
      </c>
      <c r="E23" s="23">
        <v>-5000</v>
      </c>
      <c r="F23" s="25">
        <f t="shared" si="0"/>
        <v>227000</v>
      </c>
    </row>
    <row r="24" spans="2:6" x14ac:dyDescent="0.25">
      <c r="B24" s="21">
        <v>43570</v>
      </c>
      <c r="C24" s="20" t="s">
        <v>45</v>
      </c>
      <c r="D24" s="20">
        <v>503</v>
      </c>
      <c r="E24" s="23">
        <v>-5000</v>
      </c>
      <c r="F24" s="25">
        <f t="shared" si="0"/>
        <v>222000</v>
      </c>
    </row>
    <row r="25" spans="2:6" x14ac:dyDescent="0.25">
      <c r="B25" s="21">
        <v>43570</v>
      </c>
      <c r="C25" s="20" t="s">
        <v>45</v>
      </c>
      <c r="D25" s="20">
        <v>504</v>
      </c>
      <c r="E25" s="23">
        <v>-5000</v>
      </c>
      <c r="F25" s="25">
        <f t="shared" si="0"/>
        <v>217000</v>
      </c>
    </row>
    <row r="26" spans="2:6" x14ac:dyDescent="0.25">
      <c r="B26" s="21">
        <v>43570</v>
      </c>
      <c r="C26" s="20" t="s">
        <v>45</v>
      </c>
      <c r="D26" s="20">
        <v>505</v>
      </c>
      <c r="E26" s="23">
        <v>-50000</v>
      </c>
      <c r="F26" s="25">
        <f t="shared" si="0"/>
        <v>167000</v>
      </c>
    </row>
    <row r="27" spans="2:6" x14ac:dyDescent="0.25">
      <c r="B27" s="21">
        <v>43575</v>
      </c>
      <c r="C27" s="20" t="s">
        <v>40</v>
      </c>
      <c r="D27" s="20">
        <v>20823</v>
      </c>
      <c r="E27" s="22">
        <v>1000</v>
      </c>
      <c r="F27" s="25">
        <f t="shared" si="0"/>
        <v>168000</v>
      </c>
    </row>
    <row r="28" spans="2:6" x14ac:dyDescent="0.25">
      <c r="B28" s="21">
        <v>43575</v>
      </c>
      <c r="C28" s="20" t="s">
        <v>40</v>
      </c>
      <c r="D28" s="20">
        <v>20824</v>
      </c>
      <c r="E28" s="22">
        <v>1000</v>
      </c>
      <c r="F28" s="25">
        <f t="shared" si="0"/>
        <v>169000</v>
      </c>
    </row>
    <row r="29" spans="2:6" x14ac:dyDescent="0.25">
      <c r="B29" s="21">
        <v>43575</v>
      </c>
      <c r="C29" s="20" t="s">
        <v>40</v>
      </c>
      <c r="D29" s="20">
        <v>20825</v>
      </c>
      <c r="E29" s="22">
        <v>1000</v>
      </c>
      <c r="F29" s="25">
        <f t="shared" si="0"/>
        <v>170000</v>
      </c>
    </row>
    <row r="30" spans="2:6" x14ac:dyDescent="0.25">
      <c r="B30" s="21">
        <v>43575</v>
      </c>
      <c r="C30" s="20" t="s">
        <v>40</v>
      </c>
      <c r="D30" s="20">
        <v>20826</v>
      </c>
      <c r="E30" s="22">
        <v>1000</v>
      </c>
      <c r="F30" s="25">
        <f t="shared" si="0"/>
        <v>171000</v>
      </c>
    </row>
    <row r="31" spans="2:6" x14ac:dyDescent="0.25">
      <c r="B31" s="21">
        <v>43576</v>
      </c>
      <c r="C31" s="20" t="s">
        <v>45</v>
      </c>
      <c r="D31" s="20">
        <v>506</v>
      </c>
      <c r="E31" s="23">
        <v>-5000</v>
      </c>
      <c r="F31" s="25">
        <f t="shared" si="0"/>
        <v>166000</v>
      </c>
    </row>
    <row r="32" spans="2:6" x14ac:dyDescent="0.25">
      <c r="B32" s="21">
        <v>43575</v>
      </c>
      <c r="C32" s="20" t="s">
        <v>40</v>
      </c>
      <c r="D32" s="20">
        <v>20827</v>
      </c>
      <c r="E32" s="22">
        <v>1000</v>
      </c>
      <c r="F32" s="25">
        <f t="shared" si="0"/>
        <v>167000</v>
      </c>
    </row>
    <row r="33" spans="2:6" x14ac:dyDescent="0.25">
      <c r="B33" s="21">
        <v>43582</v>
      </c>
      <c r="C33" s="20" t="s">
        <v>46</v>
      </c>
      <c r="D33" s="20">
        <v>507</v>
      </c>
      <c r="E33" s="23">
        <v>-100</v>
      </c>
      <c r="F33" s="25">
        <f t="shared" si="0"/>
        <v>166900</v>
      </c>
    </row>
    <row r="34" spans="2:6" x14ac:dyDescent="0.25">
      <c r="B34" s="21">
        <v>43582</v>
      </c>
      <c r="C34" s="20" t="s">
        <v>46</v>
      </c>
      <c r="D34" s="20">
        <v>508</v>
      </c>
      <c r="E34" s="23">
        <v>-250</v>
      </c>
      <c r="F34" s="25">
        <f t="shared" si="0"/>
        <v>166650</v>
      </c>
    </row>
    <row r="35" spans="2:6" x14ac:dyDescent="0.25">
      <c r="B35" s="21">
        <v>43582</v>
      </c>
      <c r="C35" s="20" t="s">
        <v>46</v>
      </c>
      <c r="D35" s="20">
        <v>509</v>
      </c>
      <c r="E35" s="23">
        <v>-150</v>
      </c>
      <c r="F35" s="25">
        <f t="shared" si="0"/>
        <v>166500</v>
      </c>
    </row>
    <row r="36" spans="2:6" x14ac:dyDescent="0.25">
      <c r="B36" s="21">
        <v>43582</v>
      </c>
      <c r="C36" s="20" t="s">
        <v>46</v>
      </c>
      <c r="D36" s="20">
        <v>510</v>
      </c>
      <c r="E36" s="23">
        <v>-2000</v>
      </c>
      <c r="F36" s="25">
        <f t="shared" si="0"/>
        <v>164500</v>
      </c>
    </row>
    <row r="37" spans="2:6" x14ac:dyDescent="0.25">
      <c r="B37" s="21">
        <v>43582</v>
      </c>
      <c r="C37" s="20" t="s">
        <v>46</v>
      </c>
      <c r="D37" s="20">
        <v>511</v>
      </c>
      <c r="E37" s="23">
        <v>-5000</v>
      </c>
      <c r="F37" s="25">
        <f t="shared" si="0"/>
        <v>159500</v>
      </c>
    </row>
    <row r="38" spans="2:6" x14ac:dyDescent="0.25">
      <c r="B38" s="21">
        <v>43585</v>
      </c>
      <c r="C38" s="20" t="s">
        <v>45</v>
      </c>
      <c r="D38" s="20">
        <v>512</v>
      </c>
      <c r="E38" s="23">
        <v>-5000</v>
      </c>
      <c r="F38" s="25">
        <f t="shared" si="0"/>
        <v>154500</v>
      </c>
    </row>
    <row r="39" spans="2:6" x14ac:dyDescent="0.25">
      <c r="B39" s="21">
        <v>43585</v>
      </c>
      <c r="C39" s="20" t="s">
        <v>45</v>
      </c>
      <c r="D39" s="20">
        <v>513</v>
      </c>
      <c r="E39" s="23">
        <v>-50000</v>
      </c>
      <c r="F39" s="25">
        <f t="shared" si="0"/>
        <v>104500</v>
      </c>
    </row>
    <row r="40" spans="2:6" x14ac:dyDescent="0.25">
      <c r="B40" s="21">
        <v>43585</v>
      </c>
      <c r="C40" s="20" t="s">
        <v>45</v>
      </c>
      <c r="D40" s="20">
        <v>514</v>
      </c>
      <c r="E40" s="23">
        <v>-5000</v>
      </c>
      <c r="F40" s="25">
        <f t="shared" si="0"/>
        <v>99500</v>
      </c>
    </row>
    <row r="41" spans="2:6" x14ac:dyDescent="0.25">
      <c r="B41" s="21">
        <v>43585</v>
      </c>
      <c r="C41" s="20" t="s">
        <v>45</v>
      </c>
      <c r="D41" s="20">
        <v>515</v>
      </c>
      <c r="E41" s="23">
        <v>-5000</v>
      </c>
      <c r="F41" s="25">
        <f t="shared" si="0"/>
        <v>94500</v>
      </c>
    </row>
    <row r="42" spans="2:6" x14ac:dyDescent="0.25">
      <c r="B42" s="21">
        <v>43585</v>
      </c>
      <c r="C42" s="20" t="s">
        <v>45</v>
      </c>
      <c r="D42" s="20">
        <v>516</v>
      </c>
      <c r="E42" s="23">
        <v>-5000</v>
      </c>
      <c r="F42" s="25">
        <f t="shared" si="0"/>
        <v>89500</v>
      </c>
    </row>
    <row r="43" spans="2:6" x14ac:dyDescent="0.25">
      <c r="B43" s="21">
        <v>43585</v>
      </c>
      <c r="C43" s="20" t="s">
        <v>40</v>
      </c>
      <c r="D43" s="20">
        <v>20828</v>
      </c>
      <c r="E43" s="22">
        <v>15000</v>
      </c>
      <c r="F43" s="25">
        <f t="shared" si="0"/>
        <v>104500</v>
      </c>
    </row>
    <row r="44" spans="2:6" x14ac:dyDescent="0.25">
      <c r="B44" s="21">
        <v>43585</v>
      </c>
      <c r="C44" s="20" t="s">
        <v>40</v>
      </c>
      <c r="D44" s="20">
        <v>20829</v>
      </c>
      <c r="E44" s="22">
        <v>15000</v>
      </c>
      <c r="F44" s="25">
        <f t="shared" si="0"/>
        <v>119500</v>
      </c>
    </row>
    <row r="45" spans="2:6" x14ac:dyDescent="0.25">
      <c r="B45" s="21">
        <v>43585</v>
      </c>
      <c r="C45" s="20" t="s">
        <v>40</v>
      </c>
      <c r="D45" s="20">
        <v>20830</v>
      </c>
      <c r="E45" s="22">
        <v>10000</v>
      </c>
      <c r="F45" s="25">
        <f t="shared" si="0"/>
        <v>129500</v>
      </c>
    </row>
    <row r="46" spans="2:6" x14ac:dyDescent="0.25">
      <c r="B46" s="21">
        <v>43585</v>
      </c>
      <c r="C46" s="20" t="s">
        <v>40</v>
      </c>
      <c r="D46" s="20">
        <v>20831</v>
      </c>
      <c r="E46" s="22">
        <v>2000</v>
      </c>
      <c r="F46" s="25">
        <f t="shared" si="0"/>
        <v>131500</v>
      </c>
    </row>
  </sheetData>
  <conditionalFormatting sqref="D1:D1048576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2369-1C80-44B9-ADA5-23A5DFED9B7C}">
  <sheetPr>
    <tabColor rgb="FF00B050"/>
  </sheetPr>
  <dimension ref="A2:F22"/>
  <sheetViews>
    <sheetView tabSelected="1" workbookViewId="0">
      <selection activeCell="H13" sqref="H13"/>
    </sheetView>
  </sheetViews>
  <sheetFormatPr baseColWidth="10" defaultRowHeight="15" x14ac:dyDescent="0.25"/>
  <cols>
    <col min="1" max="1" width="4.28515625" style="3" customWidth="1"/>
    <col min="2" max="2" width="11.42578125" style="3"/>
    <col min="3" max="3" width="17.7109375" style="3" customWidth="1"/>
    <col min="4" max="4" width="20.7109375" style="3" customWidth="1"/>
    <col min="5" max="5" width="11.42578125" style="3"/>
    <col min="6" max="6" width="14.140625" style="2" bestFit="1" customWidth="1"/>
    <col min="7" max="16384" width="11.42578125" style="3"/>
  </cols>
  <sheetData>
    <row r="2" spans="1:6" ht="21" x14ac:dyDescent="0.35">
      <c r="B2" s="30" t="s">
        <v>44</v>
      </c>
      <c r="C2" s="30"/>
      <c r="D2" s="30"/>
      <c r="E2" s="30"/>
      <c r="F2" s="30"/>
    </row>
    <row r="3" spans="1:6" ht="15.75" x14ac:dyDescent="0.25">
      <c r="A3" s="17"/>
      <c r="B3" s="31" t="s">
        <v>42</v>
      </c>
      <c r="C3" s="31"/>
      <c r="D3" s="31"/>
      <c r="E3" s="31"/>
      <c r="F3" s="31"/>
    </row>
    <row r="4" spans="1:6" ht="15.75" x14ac:dyDescent="0.25">
      <c r="A4" s="31" t="s">
        <v>43</v>
      </c>
      <c r="B4" s="31"/>
      <c r="C4" s="31"/>
      <c r="D4" s="31"/>
      <c r="E4" s="31"/>
      <c r="F4" s="31"/>
    </row>
    <row r="5" spans="1:6" ht="15.75" x14ac:dyDescent="0.25">
      <c r="A5" s="17"/>
      <c r="B5" s="31" t="s">
        <v>51</v>
      </c>
      <c r="C5" s="31"/>
      <c r="D5" s="31"/>
      <c r="E5" s="31"/>
      <c r="F5" s="31"/>
    </row>
    <row r="7" spans="1:6" x14ac:dyDescent="0.25">
      <c r="F7" s="7"/>
    </row>
    <row r="8" spans="1:6" x14ac:dyDescent="0.25">
      <c r="B8" s="9" t="s">
        <v>1</v>
      </c>
      <c r="C8" s="9"/>
      <c r="F8" s="7">
        <v>131500</v>
      </c>
    </row>
    <row r="9" spans="1:6" x14ac:dyDescent="0.25">
      <c r="A9" s="4" t="s">
        <v>6</v>
      </c>
      <c r="B9" s="3" t="s">
        <v>2</v>
      </c>
      <c r="F9" s="7">
        <f>SUM(E11:E13)</f>
        <v>9000</v>
      </c>
    </row>
    <row r="10" spans="1:6" x14ac:dyDescent="0.25">
      <c r="F10" s="7"/>
    </row>
    <row r="11" spans="1:6" x14ac:dyDescent="0.25">
      <c r="B11" s="50" t="s">
        <v>67</v>
      </c>
      <c r="C11" s="51">
        <v>20832</v>
      </c>
      <c r="D11" s="51" t="s">
        <v>3</v>
      </c>
      <c r="E11" s="7">
        <v>2000</v>
      </c>
    </row>
    <row r="12" spans="1:6" x14ac:dyDescent="0.25">
      <c r="B12" s="50" t="s">
        <v>67</v>
      </c>
      <c r="C12" s="51">
        <v>20833</v>
      </c>
      <c r="D12" s="51" t="s">
        <v>3</v>
      </c>
      <c r="E12" s="7">
        <v>2000</v>
      </c>
    </row>
    <row r="13" spans="1:6" x14ac:dyDescent="0.25">
      <c r="B13" s="50" t="s">
        <v>67</v>
      </c>
      <c r="C13" s="51">
        <v>20834</v>
      </c>
      <c r="D13" s="51" t="s">
        <v>5</v>
      </c>
      <c r="E13" s="7">
        <v>5000</v>
      </c>
    </row>
    <row r="15" spans="1:6" ht="15.75" thickBot="1" x14ac:dyDescent="0.3">
      <c r="A15" s="3" t="s">
        <v>11</v>
      </c>
      <c r="B15" s="4" t="s">
        <v>8</v>
      </c>
      <c r="C15" s="4"/>
      <c r="F15" s="8">
        <f>SUM(F8:F14)</f>
        <v>140500</v>
      </c>
    </row>
    <row r="16" spans="1:6" ht="15.75" thickTop="1" x14ac:dyDescent="0.25"/>
    <row r="17" spans="1:6" x14ac:dyDescent="0.25">
      <c r="B17" s="9" t="s">
        <v>7</v>
      </c>
      <c r="C17" s="9"/>
      <c r="F17" s="2">
        <v>140500</v>
      </c>
    </row>
    <row r="19" spans="1:6" ht="15.75" thickBot="1" x14ac:dyDescent="0.3">
      <c r="A19" s="3" t="s">
        <v>11</v>
      </c>
      <c r="B19" s="4" t="s">
        <v>9</v>
      </c>
      <c r="C19" s="4"/>
      <c r="D19" s="4"/>
      <c r="F19" s="8">
        <f>+F17</f>
        <v>140500</v>
      </c>
    </row>
    <row r="20" spans="1:6" ht="15.75" thickTop="1" x14ac:dyDescent="0.25"/>
    <row r="21" spans="1:6" ht="15.75" thickBot="1" x14ac:dyDescent="0.3">
      <c r="B21" s="4" t="s">
        <v>10</v>
      </c>
      <c r="F21" s="8">
        <f>+F15-F19</f>
        <v>0</v>
      </c>
    </row>
    <row r="22" spans="1:6" ht="15.75" thickTop="1" x14ac:dyDescent="0.25"/>
  </sheetData>
  <mergeCells count="4">
    <mergeCell ref="B2:F2"/>
    <mergeCell ref="B3:F3"/>
    <mergeCell ref="A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1.Conc mes anterior Marzo</vt:lpstr>
      <vt:lpstr>2.Auxiliar contable de Abril</vt:lpstr>
      <vt:lpstr>TABLA aux</vt:lpstr>
      <vt:lpstr>TABLA dinamica aux</vt:lpstr>
      <vt:lpstr>3.Estado de Cuenta </vt:lpstr>
      <vt:lpstr>Conciliacion Bancaria 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Kenenh</dc:creator>
  <cp:lastModifiedBy>elias knaus</cp:lastModifiedBy>
  <dcterms:created xsi:type="dcterms:W3CDTF">2020-04-21T00:01:22Z</dcterms:created>
  <dcterms:modified xsi:type="dcterms:W3CDTF">2025-12-30T19:20:21Z</dcterms:modified>
</cp:coreProperties>
</file>